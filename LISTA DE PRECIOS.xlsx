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arloscontreras/Desktop/RMG_Parts_Project/"/>
    </mc:Choice>
  </mc:AlternateContent>
  <xr:revisionPtr revIDLastSave="0" documentId="13_ncr:1_{2F4935D2-DBA7-C34A-BC60-0D6D3D31CBC8}" xr6:coauthVersionLast="47" xr6:coauthVersionMax="47" xr10:uidLastSave="{00000000-0000-0000-0000-000000000000}"/>
  <bookViews>
    <workbookView xWindow="1180" yWindow="1500" windowWidth="27240" windowHeight="15940" xr2:uid="{B1FEFA38-9195-0345-B917-E422930886EA}"/>
  </bookViews>
  <sheets>
    <sheet name="Hoja1" sheetId="1" r:id="rId1"/>
  </sheets>
  <definedNames>
    <definedName name="_xlnm._FilterDatabase" localSheetId="0" hidden="1">Hoja1!$A$1:$O$1027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2" i="1"/>
  <c r="O2" i="1" s="1"/>
  <c r="N1031" i="1"/>
</calcChain>
</file>

<file path=xl/sharedStrings.xml><?xml version="1.0" encoding="utf-8"?>
<sst xmlns="http://schemas.openxmlformats.org/spreadsheetml/2006/main" count="9249" uniqueCount="1436">
  <si>
    <t>Segmento Negocio</t>
  </si>
  <si>
    <t>Prioridad de Consumo</t>
  </si>
  <si>
    <t>Categoria</t>
  </si>
  <si>
    <t>Producto Generico RMG</t>
  </si>
  <si>
    <t>Proveedor</t>
  </si>
  <si>
    <t>Marca</t>
  </si>
  <si>
    <t>Ranking Compra (1 = Mejor Costo)</t>
  </si>
  <si>
    <t>Codigo SKU</t>
  </si>
  <si>
    <t>Descripcion Producto Original</t>
  </si>
  <si>
    <t>Presentacion (Volumen/Peso)</t>
  </si>
  <si>
    <t>TIPO DE ENVASE</t>
  </si>
  <si>
    <t>Unidades por Caja/Pack</t>
  </si>
  <si>
    <t>Margen RMG ($)</t>
  </si>
  <si>
    <t>Concesionarios</t>
  </si>
  <si>
    <t>Lubricante</t>
  </si>
  <si>
    <t>5W30 sintetico</t>
  </si>
  <si>
    <t>Vistony</t>
  </si>
  <si>
    <t>1000544</t>
  </si>
  <si>
    <t>CAJ04 ATTOM S320 SAE 5W-30 ACEA C3/API SN DE 5 L</t>
  </si>
  <si>
    <t>5 L</t>
  </si>
  <si>
    <t>Bidon</t>
  </si>
  <si>
    <t>Talleres</t>
  </si>
  <si>
    <t>Refrigerante/Aditivo Diesel</t>
  </si>
  <si>
    <t>Refrigerante verde convencional</t>
  </si>
  <si>
    <t>1200009</t>
  </si>
  <si>
    <t>CAJ06 LIQUIDO PARA RADIADOR VERDE DE 1 GAL</t>
  </si>
  <si>
    <t>1 GAL</t>
  </si>
  <si>
    <t>Galon</t>
  </si>
  <si>
    <t>Construccion (agro)</t>
  </si>
  <si>
    <t>10W40 semisintetico</t>
  </si>
  <si>
    <t>1000560</t>
  </si>
  <si>
    <t>CAJ04 SINTEK OIL S 210 SAE 10W40 ACEA A3/B4 - API SN DE 4L</t>
  </si>
  <si>
    <t>4 L</t>
  </si>
  <si>
    <t>1200105</t>
  </si>
  <si>
    <t>CAJ06 COOLANT ICE FREEZE ORGANIC (OAT) 50/50 GREEN - 5 IDIOMAS DE 4L</t>
  </si>
  <si>
    <t>Flotas</t>
  </si>
  <si>
    <t>Aceite engranajes</t>
  </si>
  <si>
    <t>1000618</t>
  </si>
  <si>
    <t>CAJ12 TRANSMEC SYNTHETIC API GL-4 SAE 75W90 DE 1L</t>
  </si>
  <si>
    <t>1 L</t>
  </si>
  <si>
    <t>Frasco/Botella</t>
  </si>
  <si>
    <t>Industria</t>
  </si>
  <si>
    <t>Refrigerante rojo OAT</t>
  </si>
  <si>
    <t>1200083</t>
  </si>
  <si>
    <t>CAJ06 COOLANT ICE FREEZE ORGANICO (OAT) 50/50 LONG LIFE FUCHSIA DE 4L</t>
  </si>
  <si>
    <t>Construccion</t>
  </si>
  <si>
    <t>Hidraulico ISO 68</t>
  </si>
  <si>
    <t>1000738</t>
  </si>
  <si>
    <t>BAL DRAULA H 68 DE 5 GL</t>
  </si>
  <si>
    <t>5 GL</t>
  </si>
  <si>
    <t>Balde</t>
  </si>
  <si>
    <t>1000045</t>
  </si>
  <si>
    <t>CAJ12 TRANSMISION AUTOMATICA - ATF DE 1/4 GL</t>
  </si>
  <si>
    <t>1/4 GL</t>
  </si>
  <si>
    <t>1000545</t>
  </si>
  <si>
    <t>CIL ATTOM S320 SAE 5W-30 ACEA C3/API SN DE 55 GL</t>
  </si>
  <si>
    <t>55 GL</t>
  </si>
  <si>
    <t>Tambor/Cilindro</t>
  </si>
  <si>
    <t>1000130</t>
  </si>
  <si>
    <t>CAJ12 GEAR OIL GL-5 SAE 80W90 DE 0.946 LT</t>
  </si>
  <si>
    <t>0.946 LT</t>
  </si>
  <si>
    <t>1000806</t>
  </si>
  <si>
    <t>CAJ06 BLINDAX DUO SAE 10W40 DE 4 LT</t>
  </si>
  <si>
    <t>4 LT</t>
  </si>
  <si>
    <t>1200079</t>
  </si>
  <si>
    <t>CAJ06 COOLANT ICE FREEZE ORGANICO (OAT) 33% GREEN DE 1 GL</t>
  </si>
  <si>
    <t>1 GL</t>
  </si>
  <si>
    <t>Hidraulico ISO 32</t>
  </si>
  <si>
    <t>1000087</t>
  </si>
  <si>
    <t>BAL DRAULA H 32 DE 5 GAL</t>
  </si>
  <si>
    <t>5 GAL</t>
  </si>
  <si>
    <t>1000622</t>
  </si>
  <si>
    <t>CAJ12 SINTEK OIL RAYVON 4T SAE 10W40 JASO MA2 DE 1L</t>
  </si>
  <si>
    <t>1000570</t>
  </si>
  <si>
    <t>CAJ12 ATTOM S320 SAE 5W30 ACEA C3/API SN DE 1L</t>
  </si>
  <si>
    <t>1000588</t>
  </si>
  <si>
    <t>CAJ12 GEAR OIL SYNTHETIC API GL-5 SAE J2360 75W-90 DE 1L</t>
  </si>
  <si>
    <t>1000558</t>
  </si>
  <si>
    <t>CAJ12 SINTEK OIL S 210 SAE 10W40 ACEA A3/B4 - API SN DE 1L</t>
  </si>
  <si>
    <t>1200035</t>
  </si>
  <si>
    <t>CAJ06 LIQUIDO PARA RADIADOR ROJO - 1 GAL</t>
  </si>
  <si>
    <t>1001413</t>
  </si>
  <si>
    <t>CAJ04 ATTOM S400 SAE 5W-30 API SQ DE 4L</t>
  </si>
  <si>
    <t>1000770</t>
  </si>
  <si>
    <t>CAJ04 ATTOM S400 SAE 5W30 API SP DE 1 GL</t>
  </si>
  <si>
    <t>5W40 sintetico</t>
  </si>
  <si>
    <t>1000411</t>
  </si>
  <si>
    <t>BAL FORZA PLUS SAE 15W40 DE 5 GAL</t>
  </si>
  <si>
    <t>Venta Libre (No Especifico)</t>
  </si>
  <si>
    <t>Otros</t>
  </si>
  <si>
    <t>1000781</t>
  </si>
  <si>
    <t>CAJ12 SINTEK OIL RAYVON 4T 20W50 DE 1 L</t>
  </si>
  <si>
    <t>1000409</t>
  </si>
  <si>
    <t>CAJ06 FORZA PLUS SAE 15W40 DE 1 GAL</t>
  </si>
  <si>
    <t>Quimico/Cuidado vehicular</t>
  </si>
  <si>
    <t>1400100</t>
  </si>
  <si>
    <t>CAJ12 SPRAY LIMPIA CARBURADOR 10 ONZ / 296 ML</t>
  </si>
  <si>
    <t>296 ML</t>
  </si>
  <si>
    <t>Sachet/Spray</t>
  </si>
  <si>
    <t>1000835</t>
  </si>
  <si>
    <t>CAJ06 BLINDAX S-CLASS SAE 20W-50 API SG DE 4L</t>
  </si>
  <si>
    <t>1100010</t>
  </si>
  <si>
    <t>BAL CHASIS SUPER H-2 ROJO DE 35 LIBRAS</t>
  </si>
  <si>
    <t>35 LIBRAS</t>
  </si>
  <si>
    <t>1000600</t>
  </si>
  <si>
    <t>CAJ12 BLINDAX S-CLASS SAE 20W-50 API SG DE 1L</t>
  </si>
  <si>
    <t>1000541</t>
  </si>
  <si>
    <t>CIL SINTEK OIL S210 SAE 10W40 ACEA A3/B4 API SN DE 55 GL</t>
  </si>
  <si>
    <t>1400096</t>
  </si>
  <si>
    <t>CAJ12 AFLOJATODO SUPER ZK-90 DE 10 ONZ.</t>
  </si>
  <si>
    <t>10 ONZ</t>
  </si>
  <si>
    <t>1000740</t>
  </si>
  <si>
    <t>CIL DRAULA H 68 DE 55GL</t>
  </si>
  <si>
    <t>1000452</t>
  </si>
  <si>
    <t>BAL FORZA ADVANCED SAE 15W40 DE 5 DE GAL</t>
  </si>
  <si>
    <t>1200235</t>
  </si>
  <si>
    <t>CAJ06 ICE FREEZE GMPLUS 50/50 ORANGE DE 1 GAL</t>
  </si>
  <si>
    <t>1000379</t>
  </si>
  <si>
    <t>CAJ12 RAYVON SUPER 4T 20W50 API SM JASO MA2 DE 1 L</t>
  </si>
  <si>
    <t>1400102</t>
  </si>
  <si>
    <t>CAJ12 SPRAY LIMPIA CONTACTO DE 10 ONZ / 296ML</t>
  </si>
  <si>
    <t>1000469</t>
  </si>
  <si>
    <t>CIL FORZA RAYGOLD SAE 15W40 API CK-4 DE 55 GAL</t>
  </si>
  <si>
    <t>55 GAL</t>
  </si>
  <si>
    <t>1200033</t>
  </si>
  <si>
    <t>BAL LIQUIDO PARA RADIADOR VERDE 5 GL</t>
  </si>
  <si>
    <t>Grasa</t>
  </si>
  <si>
    <t>Grasa multiproposito EP2</t>
  </si>
  <si>
    <t>1100184</t>
  </si>
  <si>
    <t>CAJ12 GRASA LITHIUM WHITE DE 10 ONZ/296 ML</t>
  </si>
  <si>
    <t>Grasa de litio EP2</t>
  </si>
  <si>
    <t>1100008</t>
  </si>
  <si>
    <t>BAL EP-2 LITHIUM MULTIPROPOSITO ROJO DE 35 LIBRAS</t>
  </si>
  <si>
    <t>1000808</t>
  </si>
  <si>
    <t>CAJ12 BLINDAX DUO SAE 10W40 DE 1 LT</t>
  </si>
  <si>
    <t>1 LT</t>
  </si>
  <si>
    <t>1000407</t>
  </si>
  <si>
    <t>CAJ12 FORZA PLUS SAE 15W40 DE 1/4 GAL</t>
  </si>
  <si>
    <t>1/4 GAL</t>
  </si>
  <si>
    <t>Refrigerante azul HOAT</t>
  </si>
  <si>
    <t>1200195</t>
  </si>
  <si>
    <t>IBC AIRBLUE DEF DE 1000LT</t>
  </si>
  <si>
    <t>1000 LT</t>
  </si>
  <si>
    <t>Contenedor IBC</t>
  </si>
  <si>
    <t>1000443</t>
  </si>
  <si>
    <t>BAL FORZA ULTRA D SAE 30 DE 5 GAL</t>
  </si>
  <si>
    <t>1000094</t>
  </si>
  <si>
    <t>CAJ06 AQUAOIL SUPER 2T TC-W3 DE 1 GAL</t>
  </si>
  <si>
    <t>1000705</t>
  </si>
  <si>
    <t>CIL VELTRON ISO VG 320 DE 55 GAL</t>
  </si>
  <si>
    <t>1400001</t>
  </si>
  <si>
    <t>CAJ12 MOTOR FLUSH DE 443 ML</t>
  </si>
  <si>
    <t>443 ML</t>
  </si>
  <si>
    <t>1000897</t>
  </si>
  <si>
    <t>BAL TRANSMEC SYNTHETIC SAE 75W90 DE 5 GAL</t>
  </si>
  <si>
    <t>1400197</t>
  </si>
  <si>
    <t>CAJ06 PULVERIZADOR DE MOTOR LOTOX DE 1 GL</t>
  </si>
  <si>
    <t>1000153</t>
  </si>
  <si>
    <t>CIL TRAKOIL 10W30 DE 55 GAL</t>
  </si>
  <si>
    <t>1000649</t>
  </si>
  <si>
    <t>BAL VOLTEK C300 SAE 5W40 API CK-4 DE 5 GAL</t>
  </si>
  <si>
    <t>Aditivo</t>
  </si>
  <si>
    <t>1600030</t>
  </si>
  <si>
    <t>CAJ12 ADITIVO ANTIHUMO NO SMOKE DE 410 ML</t>
  </si>
  <si>
    <t>410 ML</t>
  </si>
  <si>
    <t>1000703</t>
  </si>
  <si>
    <t>CIL VELTRON ISO VG 220 DE 55 GAL</t>
  </si>
  <si>
    <t>1000702</t>
  </si>
  <si>
    <t>BAL VELTRON ISO VG 220 DE 5 GAL</t>
  </si>
  <si>
    <t>1000964</t>
  </si>
  <si>
    <t>BAL VOLTEK C300 10W40 DE 5 GAL</t>
  </si>
  <si>
    <t>1000017</t>
  </si>
  <si>
    <t>CIL MUTURROL DE 55 GAL</t>
  </si>
  <si>
    <t>1600011</t>
  </si>
  <si>
    <t>CAJ12 ADITIVO ESPECIAL PARA DIESEL DE 300 ML</t>
  </si>
  <si>
    <t>300 ML</t>
  </si>
  <si>
    <t>1000142</t>
  </si>
  <si>
    <t>CIL GEAR OIL GL-5 SAE 85W140 DE 55 GL</t>
  </si>
  <si>
    <t>1100275</t>
  </si>
  <si>
    <t>CAJ12 EP-2 LITHIUM MULTIPROPOSITO ROJO DE 210 GRS</t>
  </si>
  <si>
    <t>210 GRS</t>
  </si>
  <si>
    <t>Tarro</t>
  </si>
  <si>
    <t>1100011</t>
  </si>
  <si>
    <t>BAL CHASIS SUPER H-2 NEGRA DE 35 LIBRAS</t>
  </si>
  <si>
    <t>1000112</t>
  </si>
  <si>
    <t>CIL DRAULA H32 DE 55 GAL</t>
  </si>
  <si>
    <t>1200212</t>
  </si>
  <si>
    <t>BAL AIRBLUE DEF DE 20 L</t>
  </si>
  <si>
    <t>20 L</t>
  </si>
  <si>
    <t>1200120</t>
  </si>
  <si>
    <t>CIL AIRBLUE - UREA AUTOMOTRIZ de 208 L</t>
  </si>
  <si>
    <t>208 L</t>
  </si>
  <si>
    <t>1000157</t>
  </si>
  <si>
    <t>BAL DRAULACAT TO-4 SAE 30 DE 5 GL</t>
  </si>
  <si>
    <t>1400169</t>
  </si>
  <si>
    <t>CAJ12 LIMPIA TAPIZ LOTOX DE 650 ML</t>
  </si>
  <si>
    <t>650 ML</t>
  </si>
  <si>
    <t>1100290</t>
  </si>
  <si>
    <t>CAJ12 GRAFITADA PARA PALIERES DE 210 GRS</t>
  </si>
  <si>
    <t>1000786</t>
  </si>
  <si>
    <t>LIT DRAULA H 68</t>
  </si>
  <si>
    <t>1000779</t>
  </si>
  <si>
    <t>CAJ12 RAYVON FORK OIL 10W DE 1 L</t>
  </si>
  <si>
    <t>1000839</t>
  </si>
  <si>
    <t>CIL FORZA TRUCK SAE 20W-50 DE 55 GAL</t>
  </si>
  <si>
    <t>1000708</t>
  </si>
  <si>
    <t>BAL VELTRON ISO VG 680 DE 5 GAL</t>
  </si>
  <si>
    <t>1100276</t>
  </si>
  <si>
    <t>CAJ24 EP-2 LITHIUM MULTIPROPOSITO ROJO DE 210 GRS</t>
  </si>
  <si>
    <t>1000127</t>
  </si>
  <si>
    <t>CAJ12 GEAR OIL GL-5 SAE 85W140 DE 0.946 LT</t>
  </si>
  <si>
    <t>Hidraulico ISO 46</t>
  </si>
  <si>
    <t>1000083</t>
  </si>
  <si>
    <t>BAL DRAULA H 46 DE 5 GAL</t>
  </si>
  <si>
    <t>Concentrado 50/50 industrial</t>
  </si>
  <si>
    <t>1400079</t>
  </si>
  <si>
    <t>CAJ12 LIMPIA RADIADOR DE LATA DE 300 ML</t>
  </si>
  <si>
    <t>1000440</t>
  </si>
  <si>
    <t>BAL FORZA VIS SAE 25W60 API CF-4 DE 5 GAL</t>
  </si>
  <si>
    <t>1000143</t>
  </si>
  <si>
    <t>CIL GEAR OIL GL-5 SAE 80W90 DE 55 GL</t>
  </si>
  <si>
    <t>1100284</t>
  </si>
  <si>
    <t>BAL COMPLEJO DE LITIO NLGI 2 DE 35 LIBRAS</t>
  </si>
  <si>
    <t>1600002</t>
  </si>
  <si>
    <t>CAJ12 ADITIVO ESPECIAL PARA DIESEL DE 443 ML</t>
  </si>
  <si>
    <t>1200141</t>
  </si>
  <si>
    <t>CAJ06 AGUA P/ BATERIA DE 1 GAL</t>
  </si>
  <si>
    <t>1001182</t>
  </si>
  <si>
    <t>BRIKSON HD SYNTH ATF A8 DE 55 GAL</t>
  </si>
  <si>
    <t>1400195</t>
  </si>
  <si>
    <t>CAJ12 PULVERIZADOR DE MOTOR LOTOX DE 650 ML</t>
  </si>
  <si>
    <t>1000412</t>
  </si>
  <si>
    <t>CIL FORZA PLUS SAE 15W40 DE 55 GAL</t>
  </si>
  <si>
    <t>1000140</t>
  </si>
  <si>
    <t>BAL GEAR OIL GL-5 SAE 85W140 DE 5 GL</t>
  </si>
  <si>
    <t>1100260</t>
  </si>
  <si>
    <t>CAJ12 EP-2 LITHIUM MULTIPROPOSITO AMARILLO DE 210 GRS</t>
  </si>
  <si>
    <t>1500326</t>
  </si>
  <si>
    <t>CAJ06 LIMPIA PARABRISAS LOTOX DE 1 GL</t>
  </si>
  <si>
    <t>1000666</t>
  </si>
  <si>
    <t>AGROX 2T SYNTHETIC DE 55 GL</t>
  </si>
  <si>
    <t>1000470</t>
  </si>
  <si>
    <t>BAL FORZA RAYGOLD SAE 15W40 API CK-4 DE 5 GAL</t>
  </si>
  <si>
    <t>1000105</t>
  </si>
  <si>
    <t>BAL TRAKOIL 10W30 DE 5 GAL</t>
  </si>
  <si>
    <t>1000840</t>
  </si>
  <si>
    <t>BAL FORZA TRUCK SAE 20W-50 5GL</t>
  </si>
  <si>
    <t>1000554</t>
  </si>
  <si>
    <t>CAJ12 SINTEK OIL S 210 SAE 10W30 ACEA A3/B4 - API SN DE 1L</t>
  </si>
  <si>
    <t>1001375</t>
  </si>
  <si>
    <t>CAJ12 AGROX 2T SYNTHETIC DE 1 L</t>
  </si>
  <si>
    <t>1200088</t>
  </si>
  <si>
    <t>CAJ12 COOLANT ICE FREEZE ORGANICO (OAT) CONCENTRATE EXTENDED LIFE GREEN DE 1/4 GL</t>
  </si>
  <si>
    <t>1500014</t>
  </si>
  <si>
    <t>CAJ24 AROMATIZADOR FRESHCAR 59ML</t>
  </si>
  <si>
    <t>59 ML</t>
  </si>
  <si>
    <t>1000568</t>
  </si>
  <si>
    <t>CAJ04 ATTOM S310 SAE 5W40 ACEA A5/B5-API SN DE 4L</t>
  </si>
  <si>
    <t>1100208</t>
  </si>
  <si>
    <t>BAL COMPLEJO DE LITIO NLGI 2 DE 16 KG</t>
  </si>
  <si>
    <t>16 KG</t>
  </si>
  <si>
    <t>1000234</t>
  </si>
  <si>
    <t>CAJ06 ATF BRIKSON III DE GAL</t>
  </si>
  <si>
    <t>1600005</t>
  </si>
  <si>
    <t>CAJ12 ADITIVO PARA MOTOR GASOLINERO DE 443 ML</t>
  </si>
  <si>
    <t>1400161</t>
  </si>
  <si>
    <t>CAJ06 SHAMPOO LOTOX SUPER CONCENTRADO 3 EN 1 DE 1 GAL</t>
  </si>
  <si>
    <t>1000009</t>
  </si>
  <si>
    <t>BAL MUTURROL DE 5 GAL</t>
  </si>
  <si>
    <t>1100293</t>
  </si>
  <si>
    <t>CAJ12 GRAFITADA PARA PALIERES DE 453 GRS</t>
  </si>
  <si>
    <t>453 GRS</t>
  </si>
  <si>
    <t>1600025</t>
  </si>
  <si>
    <t>CAJ12 ADITIVO PARA COMBUSTIBLE GASOLINERO DE 300 ML</t>
  </si>
  <si>
    <t>1000139</t>
  </si>
  <si>
    <t>BAL GEAR OIL GL-5 SAE 80W90 DE 5 GL</t>
  </si>
  <si>
    <t>1100294</t>
  </si>
  <si>
    <t>CAJ24 GRAFITADA PARA PALIERES DE 453 GRS</t>
  </si>
  <si>
    <t>1000550</t>
  </si>
  <si>
    <t>CAJ12 ATTOM S310 SAE 5W30 ACEA A3/B4 - API SN DE 1L</t>
  </si>
  <si>
    <t>1000133</t>
  </si>
  <si>
    <t>BAL DRAULACAT TO-4 SAE 50 DE 5 GAL</t>
  </si>
  <si>
    <t>1000992</t>
  </si>
  <si>
    <t>CAJ04 AQUAOIL 4T ELITE SAE 10W-40 DE 4 L</t>
  </si>
  <si>
    <t>1000155</t>
  </si>
  <si>
    <t>BAL DRAULACAT TO-4 SAE 10W DE 5 GL</t>
  </si>
  <si>
    <t>1000556</t>
  </si>
  <si>
    <t>CAJ04 SINTEK OIL S 210 SAE 10W30 ACEA A3/B4 - API SN DE 4L</t>
  </si>
  <si>
    <t>1100119</t>
  </si>
  <si>
    <t>CAJ12 COMPLEJO DE LITIO NLGI 2 DE 453 GRS</t>
  </si>
  <si>
    <t>1400165</t>
  </si>
  <si>
    <t>CAJ06 BRILLANTA LOTOX DE 1 GAL</t>
  </si>
  <si>
    <t>1000532</t>
  </si>
  <si>
    <t>CAJ12 BRIKSON ATF CVT DE 1L</t>
  </si>
  <si>
    <t>1000444</t>
  </si>
  <si>
    <t>CIL FORZA ADVANCED SAE 15W40 DE 55 DE GAL</t>
  </si>
  <si>
    <t>1400092</t>
  </si>
  <si>
    <t>CAJ12 SPRAY AUXILIAR DE ARRANQUE DE 10 OZ /296 ML</t>
  </si>
  <si>
    <t>1100269</t>
  </si>
  <si>
    <t>Aceite compresores</t>
  </si>
  <si>
    <t>1000243</t>
  </si>
  <si>
    <t>CAJ12 AIR COMPRESSOR OIL ISO 46 DE 1/4 GL</t>
  </si>
  <si>
    <t>1600023</t>
  </si>
  <si>
    <t>CAJ12 ADITIVO PARA COMBUSTIBLE DIESEL DE 300 ML</t>
  </si>
  <si>
    <t>1100131</t>
  </si>
  <si>
    <t>BAL MOLIBDENO LITHIUM EP2 DE 35 LIBRAS</t>
  </si>
  <si>
    <t>1000224</t>
  </si>
  <si>
    <t>CAJ12 AQUAOIL SUPER 2T TC-W3 DE 1/4 GL</t>
  </si>
  <si>
    <t>1000367</t>
  </si>
  <si>
    <t>CAJ12 ATTOM RAYVON 4T 15W50 API SN JASO MA2 DE 1 LT</t>
  </si>
  <si>
    <t>1000135</t>
  </si>
  <si>
    <t>CAJ06 GEAR OIL GL-5 SAE 80W90 DE 1 GAL</t>
  </si>
  <si>
    <t>1000233</t>
  </si>
  <si>
    <t>BAL ATF BRIKSON III DE 5 GAL</t>
  </si>
  <si>
    <t>1001371</t>
  </si>
  <si>
    <t>CAJ12 RAYVON 4T SCOOTER ST SAE 10W-40 DE 1L</t>
  </si>
  <si>
    <t>1000377</t>
  </si>
  <si>
    <t>CAJ12 SINTEK OIL RAYVON 4T 15W50 API SM JASO MA2 DE 1 L</t>
  </si>
  <si>
    <t>1000161</t>
  </si>
  <si>
    <t>BAL ROKDUR OIL 100 DE 5 GL</t>
  </si>
  <si>
    <t>Liquido de frenos</t>
  </si>
  <si>
    <t>1300027</t>
  </si>
  <si>
    <t>CAJ24 LIQUIDO PARA FRENO DOT- 4 DE 12 ONZ</t>
  </si>
  <si>
    <t>12 ONZ</t>
  </si>
  <si>
    <t>1300042</t>
  </si>
  <si>
    <t>CAJ12 LIQUIDO DE FRENOS DOT-4 PARA MOTO DE 8 OZ</t>
  </si>
  <si>
    <t>8 OZ</t>
  </si>
  <si>
    <t>1000783</t>
  </si>
  <si>
    <t>CAJ04 ATTOM RACING SAE 10W-60 DE 4L</t>
  </si>
  <si>
    <t>1000110</t>
  </si>
  <si>
    <t>CIL DRAULA H46 DE 55 GAL</t>
  </si>
  <si>
    <t>1000027</t>
  </si>
  <si>
    <t>CAJ30 AQUAOIL SUPER 2T TC-W3 DE 1/8 GL</t>
  </si>
  <si>
    <t>1/8 GL</t>
  </si>
  <si>
    <t>1500006</t>
  </si>
  <si>
    <t>CAJ24 AROMATIZADOR TUTTI FRUTTI 59ML</t>
  </si>
  <si>
    <t>1200081</t>
  </si>
  <si>
    <t>BAL COOLANT ICE FREEZE ORGANICO (OAT) 33% GREEN DE 5 GL</t>
  </si>
  <si>
    <t>1300007</t>
  </si>
  <si>
    <t>CAJ12 LIQUIDO PARA FRENO DOT - 3 DE 12 ONZ</t>
  </si>
  <si>
    <t>1300024</t>
  </si>
  <si>
    <t>CAJ24 LIQUIDO PARA FRENO DOT- 4 DE 8 ONZ</t>
  </si>
  <si>
    <t>8 ONZ</t>
  </si>
  <si>
    <t>1100253</t>
  </si>
  <si>
    <t>BAL EP-2 LITHIUM MULTIPROPOSITO AMARILLO DE 35 LIBRAS</t>
  </si>
  <si>
    <t>1000114</t>
  </si>
  <si>
    <t>BAL TEXVAC ISO 68 DE 5 GAL</t>
  </si>
  <si>
    <t>1100280</t>
  </si>
  <si>
    <t>CAJ24 EP-2 LITHIUM MULTIPROPOSITO ROJO DE 453 GRS</t>
  </si>
  <si>
    <t>1400163</t>
  </si>
  <si>
    <t>CAJ06 SILICONA WHITE LOTOX AROMA FRESA DE 1 GAL</t>
  </si>
  <si>
    <t>1300011</t>
  </si>
  <si>
    <t>CAJ24 LIQUIDO PARA FRENO DOT - 3 DE 8 ONZ</t>
  </si>
  <si>
    <t>1200085</t>
  </si>
  <si>
    <t>CAJ04 COOLANT ICE FREEZE SI-ORGANICO (SI-OAT) G12++ 50/50 COLOR ROSA DE 5L</t>
  </si>
  <si>
    <t>1200097</t>
  </si>
  <si>
    <t>CIL COOLANT ICE FREEZE ORGANICO (OAT) 50/50 COLOR VERDE DE 55 GL</t>
  </si>
  <si>
    <t>1000236</t>
  </si>
  <si>
    <t>CAJ12 ATF BRIKSON III DE 1/4 GAL</t>
  </si>
  <si>
    <t>1300004</t>
  </si>
  <si>
    <t>CAJ12 LIQUIDO PARA FRENO DOT - 3 DE 1 LT</t>
  </si>
  <si>
    <t>1000285</t>
  </si>
  <si>
    <t>CAJ06 BLINDAX SUPER 20W50 API SN DE 1 GAL</t>
  </si>
  <si>
    <t>1500010</t>
  </si>
  <si>
    <t>CAJ24 AROMATIZADOR SILVESTRE 59ML</t>
  </si>
  <si>
    <t>1000350</t>
  </si>
  <si>
    <t>CAJ12 BLINDAX SUPER 20W50 API SN DE 1/4 GAL</t>
  </si>
  <si>
    <t>1400207</t>
  </si>
  <si>
    <t>CAJ12 SILICONA TRANSPARENTE LOTOX AROMA FRESA DE 356 ML - 12 OZ</t>
  </si>
  <si>
    <t>12 OZ</t>
  </si>
  <si>
    <t>1100265</t>
  </si>
  <si>
    <t>CAJ24 EP-2 LITHIUM MULTIPROPOSITO AMARILLO DE 453 GRS</t>
  </si>
  <si>
    <t>1300008</t>
  </si>
  <si>
    <t>CAJ24 LIQUIDO PARA FRENO DOT - 3 DE 12 ONZ</t>
  </si>
  <si>
    <t>1001388</t>
  </si>
  <si>
    <t>CAJ06 RAYVON 4T J8000 SAE 20W-50 DE 1L</t>
  </si>
  <si>
    <t>1200094</t>
  </si>
  <si>
    <t>BAL COOLANT ICE HEAVY-DUTY HYBRID (NOAT) 50/50 EXTENDED LIFE RED DE 5 GL</t>
  </si>
  <si>
    <t>1000010</t>
  </si>
  <si>
    <t>BAL TRANSMISION AUTOMATICA - ATF DE 5 GL</t>
  </si>
  <si>
    <t>1001373</t>
  </si>
  <si>
    <t>CAJ06 RAYVON 4T J6000 SAE 15W-50 DE 1L</t>
  </si>
  <si>
    <t>1000118</t>
  </si>
  <si>
    <t>BAL AIR COMPRESSOR OIL 46 DE 5 GAL</t>
  </si>
  <si>
    <t>1500008</t>
  </si>
  <si>
    <t>CAJ24 AROMATIZADOR LIMON 59ML</t>
  </si>
  <si>
    <t>1001390</t>
  </si>
  <si>
    <t>CAJ06 RAYVON 4T J8000 SAE 10W-40 DE 1L</t>
  </si>
  <si>
    <t>1000039</t>
  </si>
  <si>
    <t>CAJ30 RAYVON SUPER 2T ROJO DE 1/8 GL</t>
  </si>
  <si>
    <t>1500004</t>
  </si>
  <si>
    <t>CAJ24 AROMATIZADOR FLORAL 59ML</t>
  </si>
  <si>
    <t>1200090</t>
  </si>
  <si>
    <t>CAJ06 COOLANT ICE FREEZE ORGANICO (OAT) CONCENTRADO EXTENDED LIFE GREEN DE 1 GL</t>
  </si>
  <si>
    <t>1001386</t>
  </si>
  <si>
    <t>CAJ06 RAYVON 4T J6000 SAE 10W-40 DE 1L</t>
  </si>
  <si>
    <t>1400175</t>
  </si>
  <si>
    <t>CAJ24 SILICONA WHITE LOTOX AROMA FRESA DE 300 ML</t>
  </si>
  <si>
    <t>1500012</t>
  </si>
  <si>
    <t>CAJ24 AROMATIZADOR MARINO 59ML</t>
  </si>
  <si>
    <t>1100286</t>
  </si>
  <si>
    <t>BAL GRAFITADA PARA PALIERES DE 35 LIBRAS</t>
  </si>
  <si>
    <t>1200096</t>
  </si>
  <si>
    <t>BAL COOLANT ICE FREEZE ORGANICO (OAT) 50/50 COLOR VERDE DE 5 GL</t>
  </si>
  <si>
    <t>1400185</t>
  </si>
  <si>
    <t>CAJ12 BRILLANTA LOTOX DE 300 ML</t>
  </si>
  <si>
    <t>1200092</t>
  </si>
  <si>
    <t>CAJ06 COOLANT ICE HEAVY-DUTY HYBRIDO(NOAT) 50/50 EXTENDED LIFE RED DE 1 GL</t>
  </si>
  <si>
    <t>1500328</t>
  </si>
  <si>
    <t>CAJ12 LIMPIA PARABRISAS LOTOX DE 1 L</t>
  </si>
  <si>
    <t>1001205</t>
  </si>
  <si>
    <t>CAJ12 BRIKSON ATF SYNTH MULTIVEHICULO DE 1L</t>
  </si>
  <si>
    <t>1000102</t>
  </si>
  <si>
    <t>CAJ06 TRANSMISION AUTOMATICA - ATF DE GLN</t>
  </si>
  <si>
    <t>1 GLN</t>
  </si>
  <si>
    <t>1400094</t>
  </si>
  <si>
    <t>CAJ12 LIMPIA INYECTORA DE 10 ONZ/296 ML</t>
  </si>
  <si>
    <t>1400132</t>
  </si>
  <si>
    <t>BRAKE CLEANER SPRAY DE 296 ML</t>
  </si>
  <si>
    <t>1200213</t>
  </si>
  <si>
    <t>CAJ12 LIMPIA VIDRIOS ANTIEMPAÑANTE LOTOX INFINITE DE 500 ML</t>
  </si>
  <si>
    <t>500 ML</t>
  </si>
  <si>
    <t>1400159</t>
  </si>
  <si>
    <t>CAJ12 SHAMPOO LOTOX SUPER CONCENTRADO 3 EN 1 DE 1L</t>
  </si>
  <si>
    <t>1400090</t>
  </si>
  <si>
    <t>CAJ12 SILICONA RTV COLOR GREASE 85 GR</t>
  </si>
  <si>
    <t>85 GR</t>
  </si>
  <si>
    <t>1000022</t>
  </si>
  <si>
    <t>COJ RAYVON SUPER 2T AMBAR JASO FB API TC 160 ML</t>
  </si>
  <si>
    <t>160 ML</t>
  </si>
  <si>
    <t>Sachet</t>
  </si>
  <si>
    <t>1000028</t>
  </si>
  <si>
    <t>FRA AQUAOIL SUPER 2T TC-W3 DE 1/8 GL</t>
  </si>
  <si>
    <t>1000040</t>
  </si>
  <si>
    <t>FRA RAYVON SUPER 2T ROJO DE 1/8 GL</t>
  </si>
  <si>
    <t>1000047</t>
  </si>
  <si>
    <t>FRA TRANSMISION AUTOMATICA - ATF DE 1/4 GL</t>
  </si>
  <si>
    <t>1000103</t>
  </si>
  <si>
    <t>GL TRANSMISION AUTOMATICA - ATF DE GLN</t>
  </si>
  <si>
    <t>1000129</t>
  </si>
  <si>
    <t>FRA GEAR OIL GL-5 SAE 85W140 DE 0.946 LT</t>
  </si>
  <si>
    <t>1000132</t>
  </si>
  <si>
    <t>FRA GEAR OIL GL-5 SAE 80W90 DE 0.946 LT</t>
  </si>
  <si>
    <t>1000136</t>
  </si>
  <si>
    <t>GL GEAR OIL GL-5 SAE 80W90 DE 1 GAL</t>
  </si>
  <si>
    <t>1000138</t>
  </si>
  <si>
    <t>GL GEAR OIL GL-5 SAE 85W140 DE GAL</t>
  </si>
  <si>
    <t>1000206</t>
  </si>
  <si>
    <t>CHI GL5 GEAR OIL DE 207 ML</t>
  </si>
  <si>
    <t>207 ML</t>
  </si>
  <si>
    <t>Frasco chico</t>
  </si>
  <si>
    <t>1000225</t>
  </si>
  <si>
    <t>FRA AQUAOIL SUPER 2T TC-W3 DE 1/4 GL</t>
  </si>
  <si>
    <t>1000235</t>
  </si>
  <si>
    <t>GL ATF BRIKSON III DE GAL</t>
  </si>
  <si>
    <t>1000008</t>
  </si>
  <si>
    <t>BAL HIDRAULAN 68 DE 5 GAL</t>
  </si>
  <si>
    <t>1000237</t>
  </si>
  <si>
    <t>FRA ATF BRIKSON III DE 1/4 GAL</t>
  </si>
  <si>
    <t>1000245</t>
  </si>
  <si>
    <t>FRA AIR COMPRESSOR OIL ISO 46 DE 1/4 GL</t>
  </si>
  <si>
    <t>1000286</t>
  </si>
  <si>
    <t>GL BLINDAX SUPER 20W50 API SN DE 1 GAL</t>
  </si>
  <si>
    <t>1000019</t>
  </si>
  <si>
    <t>CAJ75 AQUAOIL SUPER 2T TC-W3 DE 1/8 GL</t>
  </si>
  <si>
    <t>1000021</t>
  </si>
  <si>
    <t>CAJ132 RAYVON SUPER 2T AMBAR JASO FB API TC 160 ML</t>
  </si>
  <si>
    <t>1000038</t>
  </si>
  <si>
    <t>CAJ12 RAYVON SUPER 2T ROJO DE 1/8 GL</t>
  </si>
  <si>
    <t>1000351</t>
  </si>
  <si>
    <t>FRA BLINDAX SUPER 20W50 API SN DE 1/4 GAL</t>
  </si>
  <si>
    <t>1000075</t>
  </si>
  <si>
    <t>CIL HIDRAULAN 68 DE 55 GA</t>
  </si>
  <si>
    <t>55 GA</t>
  </si>
  <si>
    <t>1000364</t>
  </si>
  <si>
    <t>FRA ATTOM SAE 5W30 DE 1/4 GAL</t>
  </si>
  <si>
    <t>1000366</t>
  </si>
  <si>
    <t>GL ATTOM SAE 5W30 DE 1 GAL</t>
  </si>
  <si>
    <t>1000368</t>
  </si>
  <si>
    <t>FRA ATTOM RAYVON 4T 15W50 API SN JASO MA2 DE 1 LT</t>
  </si>
  <si>
    <t>1000372</t>
  </si>
  <si>
    <t>GL SINTEK OIL POWER 10W30 DE 1 GAL</t>
  </si>
  <si>
    <t>1000378</t>
  </si>
  <si>
    <t>FRA SINTEK OIL RAYVON 4T 15W50 API SM JASO MA2 DE 1 L</t>
  </si>
  <si>
    <t>1000380</t>
  </si>
  <si>
    <t>FRA RAYVON SUPER 4T 20W50 API SM JASO MA2 DE 1 L</t>
  </si>
  <si>
    <t>1000399</t>
  </si>
  <si>
    <t>GL FORZA VIS SAE 25W60 API CF-4 DE 1 GAL</t>
  </si>
  <si>
    <t>1000408</t>
  </si>
  <si>
    <t>FRA FORZA PLUS SAE 15W40 DE 1/4 GAL</t>
  </si>
  <si>
    <t>1000410</t>
  </si>
  <si>
    <t>GL FORZA PLUS SAE 15W40 DE 1 GAL</t>
  </si>
  <si>
    <t>1000137</t>
  </si>
  <si>
    <t>CAJ06 GEAR OIL GL-5 SAE 85W140 DE GAL</t>
  </si>
  <si>
    <t>1000154</t>
  </si>
  <si>
    <t>CIL DRAULACAT TO-4 SAE 50 DE 55 GL</t>
  </si>
  <si>
    <t>1000205</t>
  </si>
  <si>
    <t>CAJ24 GL5 GEAR OIL DE 207 ML</t>
  </si>
  <si>
    <t>1000232</t>
  </si>
  <si>
    <t>CIL ATF BRIKSON III DE 55 GAL</t>
  </si>
  <si>
    <t>1000480</t>
  </si>
  <si>
    <t>FRA BRIKSON CVT FULL SYNTHETIC DE 1/4 GAL</t>
  </si>
  <si>
    <t>1000533</t>
  </si>
  <si>
    <t>FRA BRIKSON ATF CVT DE 1L</t>
  </si>
  <si>
    <t>1000284</t>
  </si>
  <si>
    <t>CAJ04 BLINDAX SUPER 20W50 API SN DE 1 GAL</t>
  </si>
  <si>
    <t>1000300</t>
  </si>
  <si>
    <t>BAL COMPRESSOR SYNTHETIC 46 DE 5 GAL</t>
  </si>
  <si>
    <t>1000551</t>
  </si>
  <si>
    <t>FRA ATTOM S310 SAE 5W30 ACEA A3/B4 - API SN DE 1L</t>
  </si>
  <si>
    <t>1000310</t>
  </si>
  <si>
    <t>CIL ACEITE TRANSMEC API GL-4 SAE 80W90 DE 55 GAL</t>
  </si>
  <si>
    <t>1000553</t>
  </si>
  <si>
    <t>GL ATTOM S310 SAE 5W30 ACEA A3/B4 - API SN DE 4L</t>
  </si>
  <si>
    <t>1000318</t>
  </si>
  <si>
    <t>CIL TURBINIUM T ISO 46 DE 55 GAL</t>
  </si>
  <si>
    <t>1000555</t>
  </si>
  <si>
    <t>FRA SINTEK OIL S 210 SAE 10W30 ACEA A3/B4 - API SN DE 1L</t>
  </si>
  <si>
    <t>1000340</t>
  </si>
  <si>
    <t>BAL TRANSMISION TRANSMEC DUAL GL-4 250 X 5 GAL</t>
  </si>
  <si>
    <t>1000557</t>
  </si>
  <si>
    <t>GL SINTEK OIL S 210 SAE 10W30 ACEA A3/B4 - API SN DE 4L</t>
  </si>
  <si>
    <t>1000559</t>
  </si>
  <si>
    <t>FRA SINTEK OIL S 210 SAE 10W40 ACEA A3/B4 - API SN DE 1L</t>
  </si>
  <si>
    <t>1000363</t>
  </si>
  <si>
    <t>CAJ12 ATTOM SAE 5W30 DE 1/4 GAL</t>
  </si>
  <si>
    <t>1000561</t>
  </si>
  <si>
    <t>GL SINTEK OIL S 210 SAE 10W40 ACEA A3/B4 - API SN DE 4L</t>
  </si>
  <si>
    <t>1000365</t>
  </si>
  <si>
    <t>CAJ04 ATTOM SAE 5W30 DE 1 GAL</t>
  </si>
  <si>
    <t>1000569</t>
  </si>
  <si>
    <t>GL ATTOM S310 SAE 5W40 ACEA A5/B5-API SN DE 4L</t>
  </si>
  <si>
    <t>1000371</t>
  </si>
  <si>
    <t>CAJ04 SINTEK OIL POWER 10W30 DE 1 GAL</t>
  </si>
  <si>
    <t>1000589</t>
  </si>
  <si>
    <t>FRA GEAR OIL SYNTHETIC API GL-5 SAE J2360 75W-90 DE 1L</t>
  </si>
  <si>
    <t>1000398</t>
  </si>
  <si>
    <t>CAJ06 FORZA VIS SAE 25W60 API CF-4 DE 1 GAL</t>
  </si>
  <si>
    <t>1000421</t>
  </si>
  <si>
    <t>BAL FORZA ULTRA D SAE 50 DE 5 GAL</t>
  </si>
  <si>
    <t>1000619</t>
  </si>
  <si>
    <t>FRA TRANSMEC SYNTHETIC API GL-4 SAE 75W90 DE 1L</t>
  </si>
  <si>
    <t>1000422</t>
  </si>
  <si>
    <t>CIL FORZA ULTRA D SAE 50 DE 55 GAL</t>
  </si>
  <si>
    <t>1000623</t>
  </si>
  <si>
    <t>FRA SINTEK OIL RAYVON 4T SAE 10W40 JASO MA2 DE 1L</t>
  </si>
  <si>
    <t>1000431</t>
  </si>
  <si>
    <t>CIL BLINDAX HD SAE 40 MONOGRADO API SL DE 55 GAL</t>
  </si>
  <si>
    <t>1000437</t>
  </si>
  <si>
    <t>CIL BLINDAX HD SAE 50 MONOGRADO API SL DE 55 GAL</t>
  </si>
  <si>
    <t>1000451</t>
  </si>
  <si>
    <t>CIL FORZA VIS SAE 25W60 API CF-4 DE 55 GAL</t>
  </si>
  <si>
    <t>1000453</t>
  </si>
  <si>
    <t>CIL FORZA ULTRA D SAE 40 API CF-4 DE 55 GAL</t>
  </si>
  <si>
    <t>1000455</t>
  </si>
  <si>
    <t>BAL FORZA ULTRA D SAE 40 DE 5 GAL</t>
  </si>
  <si>
    <t>10W30/10W40 CK-4</t>
  </si>
  <si>
    <t>1000471</t>
  </si>
  <si>
    <t>CIL Aceite Voltek SAE 10W40 API CK-4 De 55 Gl</t>
  </si>
  <si>
    <t>55 Gl</t>
  </si>
  <si>
    <t>1000733</t>
  </si>
  <si>
    <t>GL ATTOM RACING SAE 10W-60 DE 4L</t>
  </si>
  <si>
    <t>1000479</t>
  </si>
  <si>
    <t>CAJ12 BRIKSON CVT FULL SYNTHETIC DE 1/4 GAL</t>
  </si>
  <si>
    <t>1000530</t>
  </si>
  <si>
    <t>CAJ04 ATTOM S320 5W30 ACEA C3 API SN DE 1 GL</t>
  </si>
  <si>
    <t>1000747</t>
  </si>
  <si>
    <t>GL ATTOM S320 SAE 5W-30 ACEA C3/API SN de 5L</t>
  </si>
  <si>
    <t>1000748</t>
  </si>
  <si>
    <t>FRA ATTOM S320 SAE 5W30 ACEA C3/API SN DE 1L</t>
  </si>
  <si>
    <t>1000750</t>
  </si>
  <si>
    <t>FRA BLINDAX S-CLASS SAE 20W-50 API SG DE 1L</t>
  </si>
  <si>
    <t>1000764</t>
  </si>
  <si>
    <t>GL SINTEK OIL S200 SAE 10W-30 API SN-PLUS DE 5L</t>
  </si>
  <si>
    <t>1000765</t>
  </si>
  <si>
    <t>GL ATTOM S400 SAE 5W30 API SP DE 1 GL</t>
  </si>
  <si>
    <t>1000766</t>
  </si>
  <si>
    <t>GL BLINDAX S-CLASS SAE 20W-50 API SG DE 4L</t>
  </si>
  <si>
    <t>1000546</t>
  </si>
  <si>
    <t>CAJ04 SINTEK OIL S200 SAE 10W30 API SN PLUS DE 1 GL</t>
  </si>
  <si>
    <t>1000780</t>
  </si>
  <si>
    <t>FRA RAYVON FORK OIL 10W DE 1 L</t>
  </si>
  <si>
    <t>1000782</t>
  </si>
  <si>
    <t>FRA SINTEK OIL RAYVON 4T 20W50 DE 1 L</t>
  </si>
  <si>
    <t>1000552</t>
  </si>
  <si>
    <t>CAJ04 ATTOM S310 SAE 5W30 ACEA A3/B4 - API SN DE 4L</t>
  </si>
  <si>
    <t>1000807</t>
  </si>
  <si>
    <t>GL BLINDAX DUO SAE 10W40 DE 4 LT</t>
  </si>
  <si>
    <t>1000809</t>
  </si>
  <si>
    <t>FRA BLINDAX DUO SAE 10W40 DE 1 LT</t>
  </si>
  <si>
    <t>1000597</t>
  </si>
  <si>
    <t>CIL SINTEK OIL S210 SAE 10W30 ACEA A3/B4 API SN DE 55 GAL</t>
  </si>
  <si>
    <t>1000599</t>
  </si>
  <si>
    <t>CAJ04 BLINDAX S-CLASS SAE 20W-50 API SG DE 4L</t>
  </si>
  <si>
    <t>1000638</t>
  </si>
  <si>
    <t>CAJ04 SINTEK OIL S200 SAE 10W-30 API SN-PLUS DE 5L</t>
  </si>
  <si>
    <t>1000701</t>
  </si>
  <si>
    <t>BAL VELTRON ISO VG 320 DE 5 GAL</t>
  </si>
  <si>
    <t>1000704</t>
  </si>
  <si>
    <t>CIL VELTRON ISO VG 150 DE 55 GAL</t>
  </si>
  <si>
    <t>1000707</t>
  </si>
  <si>
    <t>CIL VELTRON ISO VG 460 DE 55 GAL</t>
  </si>
  <si>
    <t>1001503</t>
  </si>
  <si>
    <t>GL ATTOM S420 SAE 0W-20 DE 5L</t>
  </si>
  <si>
    <t>1001505</t>
  </si>
  <si>
    <t>FRA ATTOM S420 SAE 0W-20 DE 1L</t>
  </si>
  <si>
    <t>1000853</t>
  </si>
  <si>
    <t>CIL BLINDAX HD SAE 30 DE 55 GAL</t>
  </si>
  <si>
    <t>1100037</t>
  </si>
  <si>
    <t>TAP EP-2 LITHIUM MULTIPROPOSITO AMARILLO DE 453 GRS</t>
  </si>
  <si>
    <t>Grasa para rodamientos</t>
  </si>
  <si>
    <t>1100040</t>
  </si>
  <si>
    <t>TAP H-3 PARA RODAMIENTOS ROJO DE 453 GRS</t>
  </si>
  <si>
    <t>1100044</t>
  </si>
  <si>
    <t>TAP GRAFITADA PARA PALIERES DE 453 GRS</t>
  </si>
  <si>
    <t>1100047</t>
  </si>
  <si>
    <t>TAP EP-2 LITHIUM MULTIPROPOSITO ROJO DE 453 GRS</t>
  </si>
  <si>
    <t>1001502</t>
  </si>
  <si>
    <t>CAJ04 ATTOM S420 SAE 0W-20 DE 5L</t>
  </si>
  <si>
    <t>1100120</t>
  </si>
  <si>
    <t>TAP COMPLEJO DE LITIO NLGI 2 DE 453 GRS</t>
  </si>
  <si>
    <t>1001504</t>
  </si>
  <si>
    <t>CAJ12 ATTOM S420 SAE 0W-20 DE 1L</t>
  </si>
  <si>
    <t>1100003</t>
  </si>
  <si>
    <t>1100140</t>
  </si>
  <si>
    <t>TAP EP-2 LITHIUM MULTIPROPOSITO AMARILLO DE 210 GRS</t>
  </si>
  <si>
    <t>1100012</t>
  </si>
  <si>
    <t>1100143</t>
  </si>
  <si>
    <t>TAP GRAFITADA PARA PALIERES DE 210 GRS</t>
  </si>
  <si>
    <t>1100035</t>
  </si>
  <si>
    <t>CAJ12 EP-2 LITHIUM MULTIPROPOSITO AMARILLO DE 453 GRS</t>
  </si>
  <si>
    <t>1100036</t>
  </si>
  <si>
    <t>1100146</t>
  </si>
  <si>
    <t>TAP EP-2 LITHIUM MULTIPROPOSITO ROJO DE 210 GRS</t>
  </si>
  <si>
    <t>1100038</t>
  </si>
  <si>
    <t>CAJ12 H-3 PARA RODAMIENTOS ROJO DE 453 GRS</t>
  </si>
  <si>
    <t>1100155</t>
  </si>
  <si>
    <t>TAP H-3 PARA RODAMIENTOS ROJO DE 210 GRS</t>
  </si>
  <si>
    <t>1100042</t>
  </si>
  <si>
    <t>1100185</t>
  </si>
  <si>
    <t>FRA GRASA LITHIUM WHITE DE 10 ONZ/296 ML</t>
  </si>
  <si>
    <t>1100043</t>
  </si>
  <si>
    <t>1100045</t>
  </si>
  <si>
    <t>CAJ12 EP-2 LITHIUM MULTIPROPOSITO ROJO DE 453 GRS</t>
  </si>
  <si>
    <t>1100130</t>
  </si>
  <si>
    <t>CIL COMPLEJO DE LITIO NLGI 2 CILINDRO</t>
  </si>
  <si>
    <t>Cilindro/Tambor</t>
  </si>
  <si>
    <t>1100138</t>
  </si>
  <si>
    <t>1100141</t>
  </si>
  <si>
    <t>1100142</t>
  </si>
  <si>
    <t>CAJ24 GRAFITADA PARA PALIERES DE 210 GRS</t>
  </si>
  <si>
    <t>1100144</t>
  </si>
  <si>
    <t>1100145</t>
  </si>
  <si>
    <t>1100153</t>
  </si>
  <si>
    <t>CAJ12 H-3 PARA RODAMIENTOS ROJO DE 210 GRS</t>
  </si>
  <si>
    <t>1100198</t>
  </si>
  <si>
    <t>CIL COMPLEX MOLY NLGI 2 DE 400 LB</t>
  </si>
  <si>
    <t>400 LB</t>
  </si>
  <si>
    <t>1100263</t>
  </si>
  <si>
    <t>CAJ24 EP-2 LITHIUM MULTIPROPOSITO AMARILLO DE 210 GRS</t>
  </si>
  <si>
    <t>1200010</t>
  </si>
  <si>
    <t>GL LIQUIDO PARA RADIADOR VERDE DE 1 GAL</t>
  </si>
  <si>
    <t>1200024</t>
  </si>
  <si>
    <t>FRA LIQUIDO PARA RADIADOR DE 1/4 GL</t>
  </si>
  <si>
    <t>1100271</t>
  </si>
  <si>
    <t>1200036</t>
  </si>
  <si>
    <t>GL LIQUIDO PARA RADIADOR ROJO - 1 GAL</t>
  </si>
  <si>
    <t>1200040</t>
  </si>
  <si>
    <t>FRA LIQUIDO PARA RADIADOR ROJO DE 1/4 GL</t>
  </si>
  <si>
    <t>1200080</t>
  </si>
  <si>
    <t>GL COOLANT ICE FREEZE ORGANICO (OAT) 33% GREEN DE 1 GL</t>
  </si>
  <si>
    <t>1200084</t>
  </si>
  <si>
    <t>GL COOLANT ICE FREEZE ORGANICO (OAT) 50/50 LONG LIFE FUCHSIA DE 4L</t>
  </si>
  <si>
    <t>1200086</t>
  </si>
  <si>
    <t>GL COOLANT ICE FREEZE SI-ORGANICO (SI-OAT) G12++ 50/50 COLOR ROSA DE 5L</t>
  </si>
  <si>
    <t>1200089</t>
  </si>
  <si>
    <t>FRA COOLANT ICE FREEZE ORGANICO (OAT) CONCENTRATE EXTENDED LIFE GREEN DE 1/4 GL</t>
  </si>
  <si>
    <t>1200022</t>
  </si>
  <si>
    <t>CAJ12 LIQUIDO PARA RADIADOR DE 1/4 GL</t>
  </si>
  <si>
    <t>1200091</t>
  </si>
  <si>
    <t>GL COOLANT ICE FREEZE ORGANICO (OAT) CONCENTRADO EXTENDED LIFE GREEN DE 1 GL</t>
  </si>
  <si>
    <t>1200038</t>
  </si>
  <si>
    <t>CAJ12 LIQUIDO PARA RADIADOR ROJO DE 1/4 GL</t>
  </si>
  <si>
    <t>1200106</t>
  </si>
  <si>
    <t>GL COOLANTT ICE FREEZE ORGANICO (OAT) 50/50 GREEN - 5 IDIOMAS DE 4L</t>
  </si>
  <si>
    <t>1200095</t>
  </si>
  <si>
    <t>CIL COOLANT ICE HEAVY-DUTY HYBRID (NOAT) 50/50 EXTENDED LIFE RED DE 55 GL</t>
  </si>
  <si>
    <t>1200142</t>
  </si>
  <si>
    <t>GL AGUA P/ BATERIA DE 1 GAL</t>
  </si>
  <si>
    <t>1200196</t>
  </si>
  <si>
    <t>CIL ICE FREEZE HEAVY DUTY SI-OAT DE 55 GAL</t>
  </si>
  <si>
    <t>1200214</t>
  </si>
  <si>
    <t>CAJ12 LAVADO ECOLOGICO LOTOX INFINITE DE 500 ML</t>
  </si>
  <si>
    <t>1200215</t>
  </si>
  <si>
    <t>CAJ12 PROTECTOR INTERIOR MULTIUSOS LOTOX INFINITE DE 500 ML</t>
  </si>
  <si>
    <t>1200216</t>
  </si>
  <si>
    <t>CAJ12 RENOVADOR DE PLASTICOS LOTOX INFINITE DE 500 ML</t>
  </si>
  <si>
    <t>1300006</t>
  </si>
  <si>
    <t>FRA LIQUIDO PARA FRENO DOT - 3 DE 1 LT</t>
  </si>
  <si>
    <t>1200217</t>
  </si>
  <si>
    <t>CAJ12 LIMPIADOR DE CUEROS LOTOX INFINITE DE 500 ML</t>
  </si>
  <si>
    <t>1300003</t>
  </si>
  <si>
    <t>CAJ10 LIQUIDO PARA FRENO DOT - 3 DE 1 LT</t>
  </si>
  <si>
    <t>1300009</t>
  </si>
  <si>
    <t>FRA LIQUIDO PARA FRENO DOT - 3 DE 12 ONZ</t>
  </si>
  <si>
    <t>1300013</t>
  </si>
  <si>
    <t>FRA LIQUIDO PARA FRENO DOT - 3 DE 8 ONZ</t>
  </si>
  <si>
    <t>1300019</t>
  </si>
  <si>
    <t>GL LIQUIDO PARA FRENO DOT - 3 DE 1 GAL</t>
  </si>
  <si>
    <t>1300010</t>
  </si>
  <si>
    <t>CAJ12 LIQUIDO PARA FRENO DOT - 3 DE 8 ONZ</t>
  </si>
  <si>
    <t>1300025</t>
  </si>
  <si>
    <t>FRA LIQUIDO PARA FRENO DOT- 4 DE 8 ONZ</t>
  </si>
  <si>
    <t>1300018</t>
  </si>
  <si>
    <t>CAJ06 LIQUIDO PARA FRENO DOT - 3 DE 1 GAL</t>
  </si>
  <si>
    <t>1300023</t>
  </si>
  <si>
    <t>CAJ12 LIQUIDO PARA FRENO DOT- 4 DE 8 ONZ</t>
  </si>
  <si>
    <t>1300028</t>
  </si>
  <si>
    <t>FRA LIQUIDO PARA FRENO DOT- 4 DE 12 ONZ</t>
  </si>
  <si>
    <t>1300043</t>
  </si>
  <si>
    <t>FRA LIQUIDO DE FRENOS DOT-4 PARA MOTO DE 8 OZ</t>
  </si>
  <si>
    <t>1300026</t>
  </si>
  <si>
    <t>CAJ12 LIQUIDO PARA FRENO DOT- 4 DE 12 ONZ</t>
  </si>
  <si>
    <t>1400003</t>
  </si>
  <si>
    <t>FRA MOTOR FLUSH DE 443 ML</t>
  </si>
  <si>
    <t>1400013</t>
  </si>
  <si>
    <t>GL BRILLANTA - PROTEGE Y BRILLA</t>
  </si>
  <si>
    <t>1400016</t>
  </si>
  <si>
    <t>FRA SILICONA WHITE CON AROMA FRESA DE 300 ML</t>
  </si>
  <si>
    <t>1400012</t>
  </si>
  <si>
    <t>CAJ06 BRILLANTA - PROTEGE Y BRILLA</t>
  </si>
  <si>
    <t>1400019</t>
  </si>
  <si>
    <t>FRA LIMPIA PARABRISAS DE 1 LT</t>
  </si>
  <si>
    <t>1400014</t>
  </si>
  <si>
    <t>CAJ12 SILICONA WHITE CON AROMA FRESA DE 300 ML</t>
  </si>
  <si>
    <t>1400025</t>
  </si>
  <si>
    <t>GL SILICONA WHITE CON AROMA FRESA DE 1GL</t>
  </si>
  <si>
    <t>1400015</t>
  </si>
  <si>
    <t>CAJ24 SILICONA WHITE CON AROMA FRESA DE 300 ML</t>
  </si>
  <si>
    <t>1400028</t>
  </si>
  <si>
    <t>FRA BRILLANTA - PROTEGE Y BRILLA DE 300 ML</t>
  </si>
  <si>
    <t>1400017</t>
  </si>
  <si>
    <t>CAJ12 LIMPIA PARABRISAS DE 1 LT</t>
  </si>
  <si>
    <t>1400036</t>
  </si>
  <si>
    <t>GL SHAMPOO SUPER CONCENTRADO DE GAL</t>
  </si>
  <si>
    <t>1400024</t>
  </si>
  <si>
    <t>CAJ06 SILICONA WHITE CON AROMA FRESA DE 1GL</t>
  </si>
  <si>
    <t>1400043</t>
  </si>
  <si>
    <t>FRA PULVERIZADOR PARA MOTOR DE 650 ML</t>
  </si>
  <si>
    <t>1400026</t>
  </si>
  <si>
    <t>CAJ12 BRILLANTA - PROTEGE Y BRILLA DE 300 ML</t>
  </si>
  <si>
    <t>1400045</t>
  </si>
  <si>
    <t>FRA LIMPIA TAPIZ VISTONY DE 650 ML</t>
  </si>
  <si>
    <t>1400035</t>
  </si>
  <si>
    <t>CAJ06 SHAMPOO SUPER CONCENTRADO DE GAL</t>
  </si>
  <si>
    <t>1400049</t>
  </si>
  <si>
    <t>GL PULVERIZADOR PARA MOTOR DE 1 GAL</t>
  </si>
  <si>
    <t>1400042</t>
  </si>
  <si>
    <t>CAJ12 PULVERIZADOR PARA MOTOR DE 650 ML</t>
  </si>
  <si>
    <t>1400054</t>
  </si>
  <si>
    <t>GL LIMPIA PARABRISAS DE 1 GL</t>
  </si>
  <si>
    <t>1400044</t>
  </si>
  <si>
    <t>CAJ12 LIMPIA TAPIZ VISTONY DE 650 ML</t>
  </si>
  <si>
    <t>1400071</t>
  </si>
  <si>
    <t>FRA SHAMPOO SUPER CONCENTRADO 3 EN 1 DE 1L</t>
  </si>
  <si>
    <t>1400048</t>
  </si>
  <si>
    <t>CAJ06 PULVERIZADOR PARA MOTOR DE 1 GAL</t>
  </si>
  <si>
    <t>1400081</t>
  </si>
  <si>
    <t>FRA LIMPIA RADIADOR DE LATA DE 300 ML</t>
  </si>
  <si>
    <t>1400084</t>
  </si>
  <si>
    <t>TAP CERA EN CREMA PARA AUTO DE 200 GR</t>
  </si>
  <si>
    <t>200 GR</t>
  </si>
  <si>
    <t>1400053</t>
  </si>
  <si>
    <t>CAJ06 LIMPIA PARABRISAS DE 1 GL</t>
  </si>
  <si>
    <t>1400070</t>
  </si>
  <si>
    <t>CAJ12 SHAMPOO SUPER CONCENTRADO 3 EN 1 DE 1L</t>
  </si>
  <si>
    <t>1400088</t>
  </si>
  <si>
    <t>FRA CERA VISTONY LIQUID WAX EXTREME DURABILLITY DE 250 ML</t>
  </si>
  <si>
    <t>250 ML</t>
  </si>
  <si>
    <t>1400089</t>
  </si>
  <si>
    <t>GL CERA LIQUIDA PARA AUTO DE 1 GAL</t>
  </si>
  <si>
    <t>1400091</t>
  </si>
  <si>
    <t>FRA SILICONA RTV COLOR GREASE 85 GR</t>
  </si>
  <si>
    <t>1400085</t>
  </si>
  <si>
    <t>CAJ12 CERA EN CREMA PARA AUTO DE 200 GR</t>
  </si>
  <si>
    <t>1400093</t>
  </si>
  <si>
    <t>FRA SPRAY AUXILIAR DE ARRANQUE DE 10 OZ /296 ML</t>
  </si>
  <si>
    <t>1400086</t>
  </si>
  <si>
    <t>CAJ12 CERA VISTONY LIQUID WAX EXTREME DURABILLITY DE 250 ML</t>
  </si>
  <si>
    <t>1400095</t>
  </si>
  <si>
    <t>FRA LIMPIA INYECTORA DE 10 ONZ/296 ML</t>
  </si>
  <si>
    <t>1400097</t>
  </si>
  <si>
    <t>FRA AFLOJATODO SUPER ZK-90 DE 10 ONZ.</t>
  </si>
  <si>
    <t>1400101</t>
  </si>
  <si>
    <t>FRA SPRAY LIMPIA CARBURADOR 10 ONZ / 296 ML</t>
  </si>
  <si>
    <t>1400103</t>
  </si>
  <si>
    <t>FRA SPRAY LIMPIA CONTACTO DE 10 ONZ / 296ML</t>
  </si>
  <si>
    <t>1400104</t>
  </si>
  <si>
    <t>CAJ12 SILICONA PROTECTORA TRANSPARENTE C/AROMA FRESA DE 356 ML - 12 OZ</t>
  </si>
  <si>
    <t>1400105</t>
  </si>
  <si>
    <t>FRA SILICONA PROTECTORA TRANSPARENTE C/AROMA FRESA DE 356 ML - 12 OZ</t>
  </si>
  <si>
    <t>1400110</t>
  </si>
  <si>
    <t>CAJ12 LUBE MULTIUSOS DE 10 ONZ/296 ML</t>
  </si>
  <si>
    <t>1400111</t>
  </si>
  <si>
    <t>FRA LUBE MULTIUSOS DE 10 ONZ/296 ML</t>
  </si>
  <si>
    <t>1400127</t>
  </si>
  <si>
    <t>CAJ06 CERA LIQUIDA PARA AUTO DE 1 GL</t>
  </si>
  <si>
    <t>1400145</t>
  </si>
  <si>
    <t>FRA SPY BRAKE CLEANER DE 296 ML</t>
  </si>
  <si>
    <t>1400164</t>
  </si>
  <si>
    <t>GL SILICONA WHITE LOTOX AROMA FRESA DE 1 GAL</t>
  </si>
  <si>
    <t>1400176</t>
  </si>
  <si>
    <t>FRA SILICONA WHITE LOTOX AROMA FRESA DE 300 ML</t>
  </si>
  <si>
    <t>1500005</t>
  </si>
  <si>
    <t>FRA AROMATIZADOR FLORAL 59ML</t>
  </si>
  <si>
    <t>1500007</t>
  </si>
  <si>
    <t>FRA AROMATIZADOR TUTTI FRUTTI 59ML</t>
  </si>
  <si>
    <t>1500009</t>
  </si>
  <si>
    <t>FRA AROMATIZADOR LIMON 59ML</t>
  </si>
  <si>
    <t>1500011</t>
  </si>
  <si>
    <t>FRA AROMATIZADOR SILVESTRE 59ML</t>
  </si>
  <si>
    <t>1500013</t>
  </si>
  <si>
    <t>FRA AROMATIZADOR MARINO 59ML</t>
  </si>
  <si>
    <t>1500015</t>
  </si>
  <si>
    <t>FRA AROMATIZADOR FRESHCAR 59ML</t>
  </si>
  <si>
    <t>1500016</t>
  </si>
  <si>
    <t>CAJ24 LIQUIDO DESENGRASANTE - LIMPIA MANOS DE 59 ML</t>
  </si>
  <si>
    <t>1500017</t>
  </si>
  <si>
    <t>FRA LIQUIDO DESENGRASANTE - LIMPIA MANOS DE 59 ML</t>
  </si>
  <si>
    <t>1500054</t>
  </si>
  <si>
    <t>CAJ06 DESENGRASANTE PARA MANO 1 GAL</t>
  </si>
  <si>
    <t>1500055</t>
  </si>
  <si>
    <t>GL DESENGRASANTE PARA MANO 1 GAL</t>
  </si>
  <si>
    <t>1500327</t>
  </si>
  <si>
    <t>GL LIMPIA PARABRISAS LOTOX DE 1 GL</t>
  </si>
  <si>
    <t>1500329</t>
  </si>
  <si>
    <t>FRA LIMPIA PARABRISAS LOTOX DE 1 L</t>
  </si>
  <si>
    <t>1600004</t>
  </si>
  <si>
    <t>FRA ADITIVO ESPECIAL PARA DIESEL DE 443 ML</t>
  </si>
  <si>
    <t>1600007</t>
  </si>
  <si>
    <t>FRA ADITIVO PARA MOTOR GASOLINERO DE 443 ML</t>
  </si>
  <si>
    <t>1600008</t>
  </si>
  <si>
    <t>CAJ12 ADITIVO PARA MOTOR GASOLINERO 300 ML</t>
  </si>
  <si>
    <t>1600010</t>
  </si>
  <si>
    <t>FRA ADITIVO PARA MOTOR GASOLINERO 300 ML</t>
  </si>
  <si>
    <t>1600013</t>
  </si>
  <si>
    <t>FRA ADITIVO ESPECIAL PARA DIESEL DE 300 ML</t>
  </si>
  <si>
    <t>1600014</t>
  </si>
  <si>
    <t>CAJ24 ADITIVO PARA TRANSMISION AUTOMATICA 207 ML</t>
  </si>
  <si>
    <t>1600015</t>
  </si>
  <si>
    <t>CHI ADITIVO PARA TRANSMISION AUTOMATICA 207 ML</t>
  </si>
  <si>
    <t>1600024</t>
  </si>
  <si>
    <t>FRA ADITIVO PARA COMBUSTIBLE DIESEL DE 300 ML</t>
  </si>
  <si>
    <t>1600026</t>
  </si>
  <si>
    <t>FRA ADITIVO PARA COMBUSTIBLE GASOLINERO DE 300 ML</t>
  </si>
  <si>
    <t>1600031</t>
  </si>
  <si>
    <t>FRA ADITIVO ANTIHUMO NO SMOKE DE 410 ML</t>
  </si>
  <si>
    <t>1600032</t>
  </si>
  <si>
    <t>CAJ12 ADITIVO MEJORADOR DE OCTANAJE MX PREMIUM DE 300 ML</t>
  </si>
  <si>
    <t>1600033</t>
  </si>
  <si>
    <t>FRA ADITIVO MEJORADOR DE OCTANAJE MX PREMIUM DE 300 ML</t>
  </si>
  <si>
    <t>1600046</t>
  </si>
  <si>
    <t>CAJ24 ADITIVO DIRECCION HIDRAULICA 207 ML</t>
  </si>
  <si>
    <t>1600047</t>
  </si>
  <si>
    <t>CHI ADITIVO DIRECCION HIDRAULICA 207 ML</t>
  </si>
  <si>
    <t>1000299</t>
  </si>
  <si>
    <t>BAL GEAR OIL GL-5 SAE 75W90 DE 5 GAL</t>
  </si>
  <si>
    <t>Neumatico</t>
  </si>
  <si>
    <t>SalfaSur</t>
  </si>
  <si>
    <t>KUMHO</t>
  </si>
  <si>
    <t>240272</t>
  </si>
  <si>
    <t>31X10.5 R15 KL71 109Q K</t>
  </si>
  <si>
    <t>Unidad</t>
  </si>
  <si>
    <t>240276</t>
  </si>
  <si>
    <t>215/75 R15 KL71 106Q 8PR K</t>
  </si>
  <si>
    <t>240079</t>
  </si>
  <si>
    <t>30X9.5 R15 KL71 104Q 6PR K</t>
  </si>
  <si>
    <t>240331</t>
  </si>
  <si>
    <t>27X8.5 R14 KL71 6PR K</t>
  </si>
  <si>
    <t>244243</t>
  </si>
  <si>
    <t>225/60 R16 KR26 98H K</t>
  </si>
  <si>
    <t>244248</t>
  </si>
  <si>
    <t>215/70 R16 KC53 108T 6PR K</t>
  </si>
  <si>
    <t>240497</t>
  </si>
  <si>
    <t>235/60 R17 KL33 102V 4PR K</t>
  </si>
  <si>
    <t>240450</t>
  </si>
  <si>
    <t>155/70 R13 KR26 75H 4PR K</t>
  </si>
  <si>
    <t>244256</t>
  </si>
  <si>
    <t>235/60 R16 PA31 100V 4PR</t>
  </si>
  <si>
    <t>241237</t>
  </si>
  <si>
    <t>195/60 R16 KC53 99H K</t>
  </si>
  <si>
    <t>Tractor/pulveriz. 245/75R16</t>
  </si>
  <si>
    <t>244306</t>
  </si>
  <si>
    <t>245/75 R16 AT51 109T</t>
  </si>
  <si>
    <t>244395</t>
  </si>
  <si>
    <t>225/60 R16 KH27 98V VT</t>
  </si>
  <si>
    <t>244402</t>
  </si>
  <si>
    <t>265/75 R16 AT51 123R TL VT</t>
  </si>
  <si>
    <t>Camion 295/80R22.5</t>
  </si>
  <si>
    <t>244411</t>
  </si>
  <si>
    <t>295/80 R22.5 RS15 152M</t>
  </si>
  <si>
    <t>244412</t>
  </si>
  <si>
    <t>195/75 R16 KC53 110R 10PR K</t>
  </si>
  <si>
    <t>244420</t>
  </si>
  <si>
    <t>195/60 R16 PA31 89V 4PR</t>
  </si>
  <si>
    <t>244313</t>
  </si>
  <si>
    <t>215/60 R16 KC53 103T 6PR VT</t>
  </si>
  <si>
    <t>244325</t>
  </si>
  <si>
    <t>265/70 R18 KL21 114T KUMHO VT</t>
  </si>
  <si>
    <t>244340</t>
  </si>
  <si>
    <t>205/65 R15 KC53 104S K</t>
  </si>
  <si>
    <t>244345</t>
  </si>
  <si>
    <t>265/50 R20 KL21 107V VT</t>
  </si>
  <si>
    <t>244348</t>
  </si>
  <si>
    <t>225/70 R16 KH27 103H CH</t>
  </si>
  <si>
    <t>244359</t>
  </si>
  <si>
    <t>155/65 R14 ES31 75T 4PR TL</t>
  </si>
  <si>
    <t>195/65R15</t>
  </si>
  <si>
    <t>244361</t>
  </si>
  <si>
    <t>195/65 R15 ES31 4PR TL CH</t>
  </si>
  <si>
    <t>244363</t>
  </si>
  <si>
    <t>245/75 R16 MT51 120/116Q 10PR VT TL</t>
  </si>
  <si>
    <t>244365</t>
  </si>
  <si>
    <t>245/75 R16 AT52 111T</t>
  </si>
  <si>
    <t>244370</t>
  </si>
  <si>
    <t>215/55 R18 KL33 93V K</t>
  </si>
  <si>
    <t>244374</t>
  </si>
  <si>
    <t>275/60 R20 AT51 102T VT</t>
  </si>
  <si>
    <t>244383</t>
  </si>
  <si>
    <t>175/70 R14 ES31 84T</t>
  </si>
  <si>
    <t>244387</t>
  </si>
  <si>
    <t>165/65 R14 ES31 79T</t>
  </si>
  <si>
    <t>244388</t>
  </si>
  <si>
    <t>205/45 ZR17 HS51 88W</t>
  </si>
  <si>
    <t>244426</t>
  </si>
  <si>
    <t>185/55 R14 KH27 80H K</t>
  </si>
  <si>
    <t>244380</t>
  </si>
  <si>
    <t>265/65 R18 AT51 114T</t>
  </si>
  <si>
    <t>244009</t>
  </si>
  <si>
    <t>285/50 R20 HP71 116V KR</t>
  </si>
  <si>
    <t>244503</t>
  </si>
  <si>
    <t>195/50 R15 KH27</t>
  </si>
  <si>
    <t>244650</t>
  </si>
  <si>
    <t>255/60 R18 AT52 112T</t>
  </si>
  <si>
    <t>244600</t>
  </si>
  <si>
    <t>215/70 R16 HP71 104H 4PR</t>
  </si>
  <si>
    <t>244607</t>
  </si>
  <si>
    <t>255/50 R20 HP71 105H</t>
  </si>
  <si>
    <t>244642</t>
  </si>
  <si>
    <t>215/55 R18 PA31 95V</t>
  </si>
  <si>
    <t>244646</t>
  </si>
  <si>
    <t>27X8.50 R14 AT51 101R 8PR</t>
  </si>
  <si>
    <t>244625</t>
  </si>
  <si>
    <t>225/55 R17 PS71 97Y 4PR</t>
  </si>
  <si>
    <t>244626</t>
  </si>
  <si>
    <t>295/80 R22.5 MA03 152/148M 16PR</t>
  </si>
  <si>
    <t>244627</t>
  </si>
  <si>
    <t>195/75 R14 KC53 106R 8PR</t>
  </si>
  <si>
    <t>244628</t>
  </si>
  <si>
    <t>215/45 R16 HS51 90V 4PR</t>
  </si>
  <si>
    <t>244631</t>
  </si>
  <si>
    <t>195/45 R16 PS31 84V</t>
  </si>
  <si>
    <t>244610</t>
  </si>
  <si>
    <t>295/80 R22.5 MD41 16PR 152/148K</t>
  </si>
  <si>
    <t>244614</t>
  </si>
  <si>
    <t>225/55 R16 PA31 99V</t>
  </si>
  <si>
    <t>242056X</t>
  </si>
  <si>
    <t>205/65 R16 KH17 95H 4PR K</t>
  </si>
  <si>
    <t>244679</t>
  </si>
  <si>
    <t>285/45 R22 HP71</t>
  </si>
  <si>
    <t>244635</t>
  </si>
  <si>
    <t>245/75 R16 AT52 111S 10PR</t>
  </si>
  <si>
    <t>244726</t>
  </si>
  <si>
    <t>275/65 R18 HT51 123/120R 10PR</t>
  </si>
  <si>
    <t>244736</t>
  </si>
  <si>
    <t>155/55 R14 HS51 69V 4PR</t>
  </si>
  <si>
    <t>244738</t>
  </si>
  <si>
    <t>255/55 R18 PS71 100Y</t>
  </si>
  <si>
    <t>244664</t>
  </si>
  <si>
    <t>195/55 R16 KH27 87H</t>
  </si>
  <si>
    <t>244743</t>
  </si>
  <si>
    <t>225/60 R16 HS52 98W</t>
  </si>
  <si>
    <t>244761</t>
  </si>
  <si>
    <t>185/60 R14 KH27 82H</t>
  </si>
  <si>
    <t>244762</t>
  </si>
  <si>
    <t>275/60 R20 AT52 115T</t>
  </si>
  <si>
    <t>244775</t>
  </si>
  <si>
    <t>225/50 R17 TA21 94V</t>
  </si>
  <si>
    <t>244779</t>
  </si>
  <si>
    <t>285/60 R20 AT52 125S</t>
  </si>
  <si>
    <t>244781</t>
  </si>
  <si>
    <t>265/75 R16 HT51 114T</t>
  </si>
  <si>
    <t>244783</t>
  </si>
  <si>
    <t>275/70 R18 AT52</t>
  </si>
  <si>
    <t>244448</t>
  </si>
  <si>
    <t>225/40 R18 PS71 92Y</t>
  </si>
  <si>
    <t>244784</t>
  </si>
  <si>
    <t>165/70 R14 KC53 89/87R</t>
  </si>
  <si>
    <t>244451</t>
  </si>
  <si>
    <t>235/55 R20 HP71 102H</t>
  </si>
  <si>
    <t>265/60R18</t>
  </si>
  <si>
    <t>244788</t>
  </si>
  <si>
    <t>265/60 R18 HP71 110V</t>
  </si>
  <si>
    <t>KENDA SD</t>
  </si>
  <si>
    <t>270016</t>
  </si>
  <si>
    <t>195/75 R14 KR06 106/104R 6PR CH</t>
  </si>
  <si>
    <t>270005</t>
  </si>
  <si>
    <t>265/65 R18 KR15 114T TL CH</t>
  </si>
  <si>
    <t>270048</t>
  </si>
  <si>
    <t>265/70 R17 KR28 115S TL TW</t>
  </si>
  <si>
    <t>270069</t>
  </si>
  <si>
    <t>30X9.5 R15 KR28 104Q TW</t>
  </si>
  <si>
    <t>270078</t>
  </si>
  <si>
    <t>31X10.5 R15 KR29 109Q 6PR CH</t>
  </si>
  <si>
    <t>270221</t>
  </si>
  <si>
    <t>205/45 R17 KR32 88V TL</t>
  </si>
  <si>
    <t>270823</t>
  </si>
  <si>
    <t>225/55 R16 KR10 95V TL</t>
  </si>
  <si>
    <t>270221X</t>
  </si>
  <si>
    <t>DOUBLE STAR</t>
  </si>
  <si>
    <t>210101</t>
  </si>
  <si>
    <t>225/60 R17 W01 99T</t>
  </si>
  <si>
    <t>210114</t>
  </si>
  <si>
    <t>215/75 R15 W01 100/97R</t>
  </si>
  <si>
    <t>210115</t>
  </si>
  <si>
    <t>255/70 R16 W01 108/104R</t>
  </si>
  <si>
    <t>210119</t>
  </si>
  <si>
    <t>215/75 R17.5 DSRS01 126/124L 16PR</t>
  </si>
  <si>
    <t>245/70R16</t>
  </si>
  <si>
    <t>210103</t>
  </si>
  <si>
    <t>245/70 R16 W01 113/110Q</t>
  </si>
  <si>
    <t>210111</t>
  </si>
  <si>
    <t>265/70 R17 DS01 115H</t>
  </si>
  <si>
    <t>210105</t>
  </si>
  <si>
    <t>175/70 R13 DH05 82T</t>
  </si>
  <si>
    <t>265/70R16</t>
  </si>
  <si>
    <t>210104</t>
  </si>
  <si>
    <t>265/70 R16 DS01 112H</t>
  </si>
  <si>
    <t>Tractor 1200 R24</t>
  </si>
  <si>
    <t>210118</t>
  </si>
  <si>
    <t>1200 R24 DSR168 160/157L 20PR</t>
  </si>
  <si>
    <t>210108</t>
  </si>
  <si>
    <t>185/60 R15 DH05 84H</t>
  </si>
  <si>
    <t>185/65R15</t>
  </si>
  <si>
    <t>210016</t>
  </si>
  <si>
    <t>185/65 R15 DH05 88H</t>
  </si>
  <si>
    <t>210017</t>
  </si>
  <si>
    <t>155 R12 DS805 88N</t>
  </si>
  <si>
    <t>210018</t>
  </si>
  <si>
    <t>185/65 R14 DH05 86H</t>
  </si>
  <si>
    <t>210019</t>
  </si>
  <si>
    <t>175/70 R14 DH05 84T</t>
  </si>
  <si>
    <t>210020</t>
  </si>
  <si>
    <t>175/65 R14 DH05 82H</t>
  </si>
  <si>
    <t>210021</t>
  </si>
  <si>
    <t>235/65 R16 DLA02 115/113R</t>
  </si>
  <si>
    <t>210022</t>
  </si>
  <si>
    <t>235/75 R15 T01 110N</t>
  </si>
  <si>
    <t>210023</t>
  </si>
  <si>
    <t>195 R15 DL01 106/104Q</t>
  </si>
  <si>
    <t>210025</t>
  </si>
  <si>
    <t>265/65 R18 DSS02 114T</t>
  </si>
  <si>
    <t>210026</t>
  </si>
  <si>
    <t>245/75 R16 W01 114/111R 8PR</t>
  </si>
  <si>
    <t>210126</t>
  </si>
  <si>
    <t>315/80 R22.5 DSR668 156/150L 20PR</t>
  </si>
  <si>
    <t>210024</t>
  </si>
  <si>
    <t>210027</t>
  </si>
  <si>
    <t>225/75 R16 W01 103/100Q 6PR</t>
  </si>
  <si>
    <t>210028</t>
  </si>
  <si>
    <t>235/60 R17 DS01 102H</t>
  </si>
  <si>
    <t>210029</t>
  </si>
  <si>
    <t>235/60 R16 DS01 100H</t>
  </si>
  <si>
    <t>210031</t>
  </si>
  <si>
    <t>215/75 R17.5 DSR116 126/124L 16PR</t>
  </si>
  <si>
    <t>210032</t>
  </si>
  <si>
    <t>12 R22.5 DSR168 152/149L 18PR</t>
  </si>
  <si>
    <t>210033</t>
  </si>
  <si>
    <t>11 R22.5 DSR168 148/145L 16PR</t>
  </si>
  <si>
    <t>210034</t>
  </si>
  <si>
    <t>295/80 R22.5 DSR668 152/149J 18PR</t>
  </si>
  <si>
    <t>210035</t>
  </si>
  <si>
    <t>295/80 R22.5 DSR328 154/152M 18PR</t>
  </si>
  <si>
    <t>210037</t>
  </si>
  <si>
    <t>215/70 R15C DL01 109/107R</t>
  </si>
  <si>
    <t>210039</t>
  </si>
  <si>
    <t>275/65 R18 DSS02 116T</t>
  </si>
  <si>
    <t>210042</t>
  </si>
  <si>
    <t>195/60 R15 DH05 88V</t>
  </si>
  <si>
    <t>265/65R17</t>
  </si>
  <si>
    <t>210044</t>
  </si>
  <si>
    <t>265/65 R17 W01 120/117R 10PR</t>
  </si>
  <si>
    <t>210045</t>
  </si>
  <si>
    <t>235/75 R15 W01 110/107R 8PR</t>
  </si>
  <si>
    <t>210046</t>
  </si>
  <si>
    <t>265/70 R16 W01 110/107R 6PR</t>
  </si>
  <si>
    <t>210050</t>
  </si>
  <si>
    <t>235/60 R18 W01 103Q</t>
  </si>
  <si>
    <t>210051</t>
  </si>
  <si>
    <t>205/60 R16 DH05 92H</t>
  </si>
  <si>
    <t>210052</t>
  </si>
  <si>
    <t>12 R22.5 DSR668 152/149K 18PR</t>
  </si>
  <si>
    <t>210054</t>
  </si>
  <si>
    <t>11 R22.5 DSR116 146/143L 16PR</t>
  </si>
  <si>
    <t>210059</t>
  </si>
  <si>
    <t>31/10.5 R15 T01 109N</t>
  </si>
  <si>
    <t>210061</t>
  </si>
  <si>
    <t>195/55 R16 DH05 87V</t>
  </si>
  <si>
    <t>210062</t>
  </si>
  <si>
    <t>275/65 R18 DLA01 116T</t>
  </si>
  <si>
    <t>210063</t>
  </si>
  <si>
    <t>265/60 R18 W01 110T</t>
  </si>
  <si>
    <t>210064</t>
  </si>
  <si>
    <t>205/65 R16 DH09 95H</t>
  </si>
  <si>
    <t>210065</t>
  </si>
  <si>
    <t>265/50 R20 DSU02 111W</t>
  </si>
  <si>
    <t>210067</t>
  </si>
  <si>
    <t>295/80 R22.5 DSR266 154/152M 18PR</t>
  </si>
  <si>
    <t>210068</t>
  </si>
  <si>
    <t>215/65 R16 DH08 98H</t>
  </si>
  <si>
    <t>205/55R16</t>
  </si>
  <si>
    <t>210069</t>
  </si>
  <si>
    <t>205/55 R16 DH05 91V</t>
  </si>
  <si>
    <t>210072</t>
  </si>
  <si>
    <t>215/55 R18 DS01 98H</t>
  </si>
  <si>
    <t>210074</t>
  </si>
  <si>
    <t>255/55 R18 DSU02 105V</t>
  </si>
  <si>
    <t>210076</t>
  </si>
  <si>
    <t>165/65 R14 DH05 79T</t>
  </si>
  <si>
    <t>210078</t>
  </si>
  <si>
    <t>235/55 R19 DSU02 105V</t>
  </si>
  <si>
    <t>210079</t>
  </si>
  <si>
    <t>285/50 R20 DS01 112H</t>
  </si>
  <si>
    <t>210082</t>
  </si>
  <si>
    <t>13 R22.5 DSR168 154/150K 18PR</t>
  </si>
  <si>
    <t>210084</t>
  </si>
  <si>
    <t>215/70 R16 DS01 108/106R</t>
  </si>
  <si>
    <t>210085</t>
  </si>
  <si>
    <t>235/55 R18 DS01 100V</t>
  </si>
  <si>
    <t>210088</t>
  </si>
  <si>
    <t>295/80 R22.5 DSRT26 154/152M 18PR</t>
  </si>
  <si>
    <t>210097</t>
  </si>
  <si>
    <t>11 R22.5 DSR668 148/145J 16PR</t>
  </si>
  <si>
    <t>210098</t>
  </si>
  <si>
    <t>215/75 R17.5 DSRD01 126/124L 16PR</t>
  </si>
  <si>
    <t>210113</t>
  </si>
  <si>
    <t>12 R22.5 HD636Z 152/149L 18PR</t>
  </si>
  <si>
    <t>210122</t>
  </si>
  <si>
    <t>155/65 R13 DH05</t>
  </si>
  <si>
    <t>210123</t>
  </si>
  <si>
    <t>245/75 R16 T01 114/111N 8PR</t>
  </si>
  <si>
    <t>210124</t>
  </si>
  <si>
    <t>165/65 R13 DH05 77T</t>
  </si>
  <si>
    <t>210125</t>
  </si>
  <si>
    <t>155/65 R14 DH08 75T</t>
  </si>
  <si>
    <t>210127</t>
  </si>
  <si>
    <t>215/65 R16 DH03 98H</t>
  </si>
  <si>
    <t>Bateria</t>
  </si>
  <si>
    <t>YOKO G&amp;B</t>
  </si>
  <si>
    <t>351416</t>
  </si>
  <si>
    <t>BATERIA YOKO KR 40AMP N40L</t>
  </si>
  <si>
    <t>351442</t>
  </si>
  <si>
    <t>BATERIA YOKO KR 90AMP 30H730 (30-H90)</t>
  </si>
  <si>
    <t>351435</t>
  </si>
  <si>
    <t>N70Z MF</t>
  </si>
  <si>
    <t>351433</t>
  </si>
  <si>
    <t>BATERIA YOKO KR 75AMP 75DT660</t>
  </si>
  <si>
    <t>351404</t>
  </si>
  <si>
    <t>BATERIA YOKO KR 12N24-4 26AMP</t>
  </si>
  <si>
    <t>352425</t>
  </si>
  <si>
    <t>BATERIA YOKO KR 60AMP N50Z</t>
  </si>
  <si>
    <t>352430</t>
  </si>
  <si>
    <t>BATERIA YOKO KR 70AMP N70</t>
  </si>
  <si>
    <t>352432</t>
  </si>
  <si>
    <t>BATERIA YOKO KR 75AMP N70Z</t>
  </si>
  <si>
    <t>352440</t>
  </si>
  <si>
    <t>BATERIA YOKO KR 100AMP N100L</t>
  </si>
  <si>
    <t>352445</t>
  </si>
  <si>
    <t>BATERIA YOKO KR 120AMP N120</t>
  </si>
  <si>
    <t>352450</t>
  </si>
  <si>
    <t>BATERIA YOKO KR 150AMP N150</t>
  </si>
  <si>
    <t>352414</t>
  </si>
  <si>
    <t>BATERIA KOREA KR 40AMP N40</t>
  </si>
  <si>
    <t>352410</t>
  </si>
  <si>
    <t>BATERIA YOKO KR 35AMP NS40ZL</t>
  </si>
  <si>
    <t>352417</t>
  </si>
  <si>
    <t>BATERIA YOKO KR 45AMP NS60L</t>
  </si>
  <si>
    <t>352465</t>
  </si>
  <si>
    <t>BATERIA YOKO KR 200AMP N200</t>
  </si>
  <si>
    <t>352420</t>
  </si>
  <si>
    <t>BATERIA YOKO KR 55AMP 55559</t>
  </si>
  <si>
    <t>352421</t>
  </si>
  <si>
    <t>BATERIA YOKO KR 44AMP 54459</t>
  </si>
  <si>
    <t>352466</t>
  </si>
  <si>
    <t>BATERIA YOKO KR 55AMP 55565</t>
  </si>
  <si>
    <t>352437</t>
  </si>
  <si>
    <t>BATERIA YOKO KR 88AMP 58827</t>
  </si>
  <si>
    <t>352435</t>
  </si>
  <si>
    <t>BATERIA YOKO KR 70AMP NX110-5</t>
  </si>
  <si>
    <t>352438</t>
  </si>
  <si>
    <t>BATERIA YOKO KR 90AMP NX120-7</t>
  </si>
  <si>
    <t>352443</t>
  </si>
  <si>
    <t>BATERIA YOKO KR 100AMP 30H102</t>
  </si>
  <si>
    <t>352422</t>
  </si>
  <si>
    <t>BATERIA YOKO KR 54AMP 55457A</t>
  </si>
  <si>
    <t>352416</t>
  </si>
  <si>
    <t>BATERIA YOKO KR 43AMP 54316</t>
  </si>
  <si>
    <t>352434</t>
  </si>
  <si>
    <t>BATERIA YOKO KR 71AMP 57113</t>
  </si>
  <si>
    <t>352439</t>
  </si>
  <si>
    <t>BATERIA YOKO KR 90AMP NX120-7L</t>
  </si>
  <si>
    <t>352436</t>
  </si>
  <si>
    <t>BATERIA YOKO KR 70AMP NX110-5L</t>
  </si>
  <si>
    <t>352449</t>
  </si>
  <si>
    <t>BATERIA YOKO KR 75AMP N70ZL</t>
  </si>
  <si>
    <t>352433</t>
  </si>
  <si>
    <t>BATERIA YOKO KR 78DT-760 760CCA 12V</t>
  </si>
  <si>
    <t>352444</t>
  </si>
  <si>
    <t>BATERIA YOKO KR 150AMP N150LSMF</t>
  </si>
  <si>
    <t>352446</t>
  </si>
  <si>
    <t>BATERIA YOKO KR 75DT-710 710CCA 12V</t>
  </si>
  <si>
    <t>352424</t>
  </si>
  <si>
    <t>BATERIA YOKO KR 60AMP 55D23R</t>
  </si>
  <si>
    <t>352426</t>
  </si>
  <si>
    <t>BATERIA YOKO KR 55D23L 60AMP/H 12V</t>
  </si>
  <si>
    <t>352447</t>
  </si>
  <si>
    <t>BATERIA YOKO KR 45AMP NX100-S6LS</t>
  </si>
  <si>
    <t>352455</t>
  </si>
  <si>
    <t>BATERIA YOKO KR 80 AMP 58014</t>
  </si>
  <si>
    <t>352451</t>
  </si>
  <si>
    <t>N100 100AMP 12VOLT</t>
  </si>
  <si>
    <t>100 Ah</t>
  </si>
  <si>
    <t>352452</t>
  </si>
  <si>
    <t>BATERÍA YOKO KR SMF 60044 100AH 12V</t>
  </si>
  <si>
    <t>352453</t>
  </si>
  <si>
    <t>73011SHD SMF 230AMP</t>
  </si>
  <si>
    <t>352454</t>
  </si>
  <si>
    <t>68032 SMF 12V 180 A/H</t>
  </si>
  <si>
    <t>352456</t>
  </si>
  <si>
    <t>BATERIA YOKO KR 100AMP 31-930S</t>
  </si>
  <si>
    <t>352467</t>
  </si>
  <si>
    <t>BATERIA YOKO KR 55AMP 55559 SMF</t>
  </si>
  <si>
    <t>352469</t>
  </si>
  <si>
    <t>BATERIA YOKO SMF 53529</t>
  </si>
  <si>
    <t>352460</t>
  </si>
  <si>
    <t>SMF 56219 62AMP CCA510</t>
  </si>
  <si>
    <t>AUSTER</t>
  </si>
  <si>
    <t>7000001</t>
  </si>
  <si>
    <t>AUSTER MAXTECH PRO RX 5W30 SP/CJ 1 LT</t>
  </si>
  <si>
    <t>7000002</t>
  </si>
  <si>
    <t>AUSTER MAXTECH PRO FE 5W30 SP/CF C3 DPF 1L</t>
  </si>
  <si>
    <t>7000006</t>
  </si>
  <si>
    <t>AUSTER MAXFORCE 15W40 CK-4 1L</t>
  </si>
  <si>
    <t>7000007</t>
  </si>
  <si>
    <t>AUSTER MAXFORCE 15W40 CK-4 3L</t>
  </si>
  <si>
    <t>3 L</t>
  </si>
  <si>
    <t>7000011</t>
  </si>
  <si>
    <t>AUSTER MAXFORCE 10W40 CK-4 3L</t>
  </si>
  <si>
    <t>7000012</t>
  </si>
  <si>
    <t>AUSTER MAXFORCE 10W40 CK-4 20L</t>
  </si>
  <si>
    <t>7000003</t>
  </si>
  <si>
    <t>AUSTER MAXTECH PRO FE 5W30 ACEA C3 DPF 1L</t>
  </si>
  <si>
    <t>7000010</t>
  </si>
  <si>
    <t>AUSTER MAXFORCE 10W40 CK-4 1L</t>
  </si>
  <si>
    <t>7000019</t>
  </si>
  <si>
    <t>AUSTER 75W90 GL-4 1L</t>
  </si>
  <si>
    <t>7000022</t>
  </si>
  <si>
    <t>AUSTER 75W90 GL-5 1L</t>
  </si>
  <si>
    <t>7000026</t>
  </si>
  <si>
    <t>AUSTER 80W90 GL-4 1L</t>
  </si>
  <si>
    <t>7000028</t>
  </si>
  <si>
    <t>AUSTER TRANSMISSION 80W90 GL-5 1L</t>
  </si>
  <si>
    <t>7000029</t>
  </si>
  <si>
    <t>AUSTER 80W90 GL-5 20L</t>
  </si>
  <si>
    <t>7000030</t>
  </si>
  <si>
    <t>AUSTER 80W90 GL-5 200L</t>
  </si>
  <si>
    <t>200 L</t>
  </si>
  <si>
    <t>7000034</t>
  </si>
  <si>
    <t>AUSTER ATF VI 1L</t>
  </si>
  <si>
    <t>7000035</t>
  </si>
  <si>
    <t>AUSTER 4T 10W40 1L</t>
  </si>
  <si>
    <t>7000036</t>
  </si>
  <si>
    <t>AUSTER LONG LIFE ANTIFREEZE 1L</t>
  </si>
  <si>
    <t>7000038</t>
  </si>
  <si>
    <t>AUSTER LONG LIFE ANTIFREEZE 200L</t>
  </si>
  <si>
    <t>7000039</t>
  </si>
  <si>
    <t>AUSTER MAXTECHG PRO FE 0W30 SN/CF 1L</t>
  </si>
  <si>
    <t>7000040</t>
  </si>
  <si>
    <t>AUSTER MAXTECH PRO FE 0W30 SN/CF 4L</t>
  </si>
  <si>
    <t>7000044</t>
  </si>
  <si>
    <t>AUSTER 20W50 SL/CF 4L</t>
  </si>
  <si>
    <t>7000046</t>
  </si>
  <si>
    <t>AUSTER MAXFORCE 15W40 CK-4 6L</t>
  </si>
  <si>
    <t>6 L</t>
  </si>
  <si>
    <t>7000047</t>
  </si>
  <si>
    <t>AUSTER MAXFORCE 10W40 CK-4 6L</t>
  </si>
  <si>
    <t>7000048</t>
  </si>
  <si>
    <t>AUSTER MAXTECH PRO 10W40 SP- 1 LT</t>
  </si>
  <si>
    <t>7000049</t>
  </si>
  <si>
    <t>AUSTER MAXTECH PRO RX 5W30 SP/CJ 4LT</t>
  </si>
  <si>
    <t>7000050</t>
  </si>
  <si>
    <t>AUSTER MAXTECH PRO FE 5W30 ACEA C3 DPF 200L</t>
  </si>
  <si>
    <t>7000052</t>
  </si>
  <si>
    <t>AUSTER MAXFORCE 15W40 CK-4 200L</t>
  </si>
  <si>
    <t>7000053</t>
  </si>
  <si>
    <t>AUSTER MAXFORCE 15W40 CK-4 20L</t>
  </si>
  <si>
    <t>7000054</t>
  </si>
  <si>
    <t>AUSTER MAXFORCE 10W40 CK-4 200L</t>
  </si>
  <si>
    <t>7000055</t>
  </si>
  <si>
    <t>AUSTER HYDRO ISO 46 20LT</t>
  </si>
  <si>
    <t>20 LT</t>
  </si>
  <si>
    <t>7000056</t>
  </si>
  <si>
    <t>AUSTER HYDRO ISO 46 200LT</t>
  </si>
  <si>
    <t>200 LT</t>
  </si>
  <si>
    <t>7000058</t>
  </si>
  <si>
    <t>AUSTER HYDRO ISO 68 200LT</t>
  </si>
  <si>
    <t>7000059</t>
  </si>
  <si>
    <t>AUSTER MAXTECH PRO 10W40 SP 4LT</t>
  </si>
  <si>
    <t>7000045</t>
  </si>
  <si>
    <t>AUSTER MAXTECH PRO FE 5W30 SP/CF C3 DPF 6L</t>
  </si>
  <si>
    <t>7000057</t>
  </si>
  <si>
    <t>AUSTER HYDRO ISO 68 20LT</t>
  </si>
  <si>
    <t>7000062</t>
  </si>
  <si>
    <t>AUSTER LITHIUM EP GREASE (RED) 180KG</t>
  </si>
  <si>
    <t>180 KG</t>
  </si>
  <si>
    <t>Tambor</t>
  </si>
  <si>
    <t>7000063</t>
  </si>
  <si>
    <t>AUSTER LITHIUM COMPLEX GREASE 180KG</t>
  </si>
  <si>
    <t>7000064</t>
  </si>
  <si>
    <t>AUSTER ATF III 1L</t>
  </si>
  <si>
    <t>7000065</t>
  </si>
  <si>
    <t>AUSTER 80W-90 LSD 1LT</t>
  </si>
  <si>
    <t>7000067</t>
  </si>
  <si>
    <t>AUSTER LITHIUM COMPLEX GREASE (BALDE) 15KG</t>
  </si>
  <si>
    <t>15 KG</t>
  </si>
  <si>
    <t>Balde/Tarro grande</t>
  </si>
  <si>
    <t>7000068</t>
  </si>
  <si>
    <t>AUSTER 75W80 GL-4 1LT</t>
  </si>
  <si>
    <t>7000069</t>
  </si>
  <si>
    <t>AUSTER 75W80 GL-5 1LT</t>
  </si>
  <si>
    <t>Cristian Hughes</t>
  </si>
  <si>
    <t>Platin</t>
  </si>
  <si>
    <t>PT40B19L</t>
  </si>
  <si>
    <t>40B19L (35 Ah - 300 CCA)</t>
  </si>
  <si>
    <t>PT40B19R</t>
  </si>
  <si>
    <t>40B19R (35 Ah - 300 CCA)</t>
  </si>
  <si>
    <t>PT40B20L</t>
  </si>
  <si>
    <t>40B20L (35 Ah - 300 CCA)</t>
  </si>
  <si>
    <t>45 Ah</t>
  </si>
  <si>
    <t>PT50B19L</t>
  </si>
  <si>
    <t>50B19L (40 Ah - 350 CCA)</t>
  </si>
  <si>
    <t>PT54459</t>
  </si>
  <si>
    <t>54459 (44 Ah 400 CCA)</t>
  </si>
  <si>
    <t>PT54316</t>
  </si>
  <si>
    <t>54316 (44 Ah 400 CCA)</t>
  </si>
  <si>
    <t>PT60B24L</t>
  </si>
  <si>
    <t>60B24L (45 Ah - 400 CCA)</t>
  </si>
  <si>
    <t>PT60B24R</t>
  </si>
  <si>
    <t>60B24R (45 Ah 400 CCA)</t>
  </si>
  <si>
    <t>60 Ah</t>
  </si>
  <si>
    <t>PT55D23L</t>
  </si>
  <si>
    <t>55D23L (60 Ah - 500 CCA)</t>
  </si>
  <si>
    <t>PT55D23R</t>
  </si>
  <si>
    <t>55D23R (60 Ah - 500 CCA)</t>
  </si>
  <si>
    <t>65 Ah</t>
  </si>
  <si>
    <t>PTQ85</t>
  </si>
  <si>
    <t>Q85 EFB (Start-Stop) (65 Ah - 620 CCA)</t>
  </si>
  <si>
    <t>55 Ah</t>
  </si>
  <si>
    <t>PT55566</t>
  </si>
  <si>
    <t>55566 (55 Ah - 390 CCA)</t>
  </si>
  <si>
    <t>PT55563</t>
  </si>
  <si>
    <t>55563 (55 Ah - 390 CCA)</t>
  </si>
  <si>
    <t>PT55530</t>
  </si>
  <si>
    <t>55530 (55 Ah - 520 CCA)</t>
  </si>
  <si>
    <t>PT55458</t>
  </si>
  <si>
    <t>55458 (55 Ah - 520 CCA)</t>
  </si>
  <si>
    <t>PT56219</t>
  </si>
  <si>
    <t>56219 (62 Ah - 550 CCA)</t>
  </si>
  <si>
    <t>PT56221</t>
  </si>
  <si>
    <t>56221 (62 Ah - 550 CCA)</t>
  </si>
  <si>
    <t>70 Ah</t>
  </si>
  <si>
    <t>PT85D26L</t>
  </si>
  <si>
    <t>85D26L (70 Ah - 550 CCA)</t>
  </si>
  <si>
    <t>PT85D26R</t>
  </si>
  <si>
    <t>85D26R (70 Ah - 550 CCA)</t>
  </si>
  <si>
    <t>80 Ah</t>
  </si>
  <si>
    <t>PT90D26L</t>
  </si>
  <si>
    <t>90D26L (80 Ah - 620 CCA)</t>
  </si>
  <si>
    <t>PT90D26R</t>
  </si>
  <si>
    <t>90D26R (80 Ah - 620 CCA)</t>
  </si>
  <si>
    <t>75 Ah</t>
  </si>
  <si>
    <t>PT57113</t>
  </si>
  <si>
    <t>57113 (71 Ah - 680 CCA)</t>
  </si>
  <si>
    <t>PT57112</t>
  </si>
  <si>
    <t>57112 (71 Ah - 680 CCA)</t>
  </si>
  <si>
    <t>PTL3EFB</t>
  </si>
  <si>
    <t>L3 EFB (Start-Stop) (71 Ah - 680 CCA)</t>
  </si>
  <si>
    <t>90 Ah</t>
  </si>
  <si>
    <t>PT105D31L</t>
  </si>
  <si>
    <t>105D31L (90 Ah - 640 CCA)</t>
  </si>
  <si>
    <t>PT105D31R</t>
  </si>
  <si>
    <t>105D31R (90 Ah - 640 CCA)</t>
  </si>
  <si>
    <t>PT115D31L</t>
  </si>
  <si>
    <t>115D31L (90 Ah - 750 CCA)</t>
  </si>
  <si>
    <t>PT115D31R</t>
  </si>
  <si>
    <t>115D31R (90 Ah - 750 CCA)</t>
  </si>
  <si>
    <t>PT135D31L</t>
  </si>
  <si>
    <t>135D31L (100 Ah - 750 CCA)</t>
  </si>
  <si>
    <t>PT135D31R</t>
  </si>
  <si>
    <t>135D31R (100 Ah - 750 CCA)</t>
  </si>
  <si>
    <t>PT59542</t>
  </si>
  <si>
    <t>59542 (90 Ah - 750 CCA)</t>
  </si>
  <si>
    <t>PTL4EFB</t>
  </si>
  <si>
    <t>L4 EFB (Start-Stop) (80 Ah - 730 CCA)</t>
  </si>
  <si>
    <t>PTM31S</t>
  </si>
  <si>
    <t>MF31S (100 Ah - 800 CCA)</t>
  </si>
  <si>
    <t>PT60038</t>
  </si>
  <si>
    <t>60038 (100 Ah - 800 CCA)</t>
  </si>
  <si>
    <t>120 Ah</t>
  </si>
  <si>
    <t>PT120</t>
  </si>
  <si>
    <t>N120 (120 Ah - 760 CCA)</t>
  </si>
  <si>
    <t>150 Ah</t>
  </si>
  <si>
    <t>PT150</t>
  </si>
  <si>
    <t>N150 (150 Ah - 1000 CCA)</t>
  </si>
  <si>
    <t>PT150R</t>
  </si>
  <si>
    <t>N150R (150 Ah - 1000 CCA)</t>
  </si>
  <si>
    <t>180 Ah</t>
  </si>
  <si>
    <t>PT180</t>
  </si>
  <si>
    <t>N180 (180 Ah - 1100 CCA)</t>
  </si>
  <si>
    <t>PT180R</t>
  </si>
  <si>
    <t>N180R (180 Ah - 1100 CCA)</t>
  </si>
  <si>
    <t>200 Ah</t>
  </si>
  <si>
    <t>PT200</t>
  </si>
  <si>
    <t>N200 (200 Ah - 1100 CCA)</t>
  </si>
  <si>
    <t>COSTO COMPRA</t>
  </si>
  <si>
    <t>PRECIO VTA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</si>
</sst>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_ ;[Red]\-#,##0\ 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41" fontId="0" fillId="0" borderId="0" xfId="1" applyFont="1"/>
    <xf numFmtId="41" fontId="2" fillId="0" borderId="1" xfId="1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EC06-7D56-AF42-B3BD-75B9E24AB7AE}">
  <dimension ref="A1:O1031"/>
  <sheetViews>
    <sheetView tabSelected="1" topLeftCell="H1" workbookViewId="0">
      <selection activeCell="H12" sqref="H12"/>
    </sheetView>
  </sheetViews>
  <sheetFormatPr baseColWidth="10" defaultColWidth="8.83203125" defaultRowHeight="16" x14ac:dyDescent="0.2"/>
  <cols>
    <col min="1" max="1" width="21.1640625" bestFit="1" customWidth="1"/>
    <col min="2" max="2" width="18.33203125" bestFit="1" customWidth="1"/>
    <col min="3" max="3" width="22.33203125" bestFit="1" customWidth="1"/>
    <col min="4" max="4" width="25.6640625" bestFit="1" customWidth="1"/>
    <col min="5" max="5" width="12.83203125" bestFit="1" customWidth="1"/>
    <col min="6" max="6" width="11.33203125" bestFit="1" customWidth="1"/>
    <col min="7" max="7" width="27.33203125" bestFit="1" customWidth="1"/>
    <col min="8" max="8" width="10.1640625" bestFit="1" customWidth="1"/>
    <col min="9" max="9" width="71.83203125" bestFit="1" customWidth="1"/>
    <col min="10" max="10" width="24.6640625" bestFit="1" customWidth="1"/>
    <col min="11" max="11" width="15.5" bestFit="1" customWidth="1"/>
    <col min="12" max="12" width="19.33203125" bestFit="1" customWidth="1"/>
    <col min="13" max="13" width="30.5" style="5" bestFit="1" customWidth="1"/>
    <col min="14" max="14" width="34.33203125" style="5" bestFit="1" customWidth="1"/>
    <col min="15" max="15" width="14.6640625" style="2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1434</v>
      </c>
      <c r="N1" s="4" t="s">
        <v>1435</v>
      </c>
      <c r="O1" s="3" t="s">
        <v>12</v>
      </c>
    </row>
    <row r="2" spans="1:15" x14ac:dyDescent="0.2">
      <c r="A2" t="s">
        <v>13</v>
      </c>
      <c r="B2">
        <v>2</v>
      </c>
      <c r="C2" t="s">
        <v>14</v>
      </c>
      <c r="D2" t="s">
        <v>15</v>
      </c>
      <c r="E2" t="s">
        <v>16</v>
      </c>
      <c r="F2" t="s">
        <v>16</v>
      </c>
      <c r="G2">
        <v>1</v>
      </c>
      <c r="H2" t="s">
        <v>17</v>
      </c>
      <c r="I2" t="s">
        <v>18</v>
      </c>
      <c r="J2" t="s">
        <v>19</v>
      </c>
      <c r="K2" t="s">
        <v>20</v>
      </c>
      <c r="L2">
        <v>4</v>
      </c>
      <c r="M2" s="5">
        <v>70224</v>
      </c>
      <c r="N2" s="5">
        <f>+M2*1.3</f>
        <v>91291.199999999997</v>
      </c>
      <c r="O2" s="2">
        <f>+N2-M2</f>
        <v>21067.199999999997</v>
      </c>
    </row>
    <row r="3" spans="1:15" x14ac:dyDescent="0.2">
      <c r="A3" t="s">
        <v>21</v>
      </c>
      <c r="B3">
        <v>1</v>
      </c>
      <c r="C3" t="s">
        <v>14</v>
      </c>
      <c r="D3" t="s">
        <v>15</v>
      </c>
      <c r="E3" t="s">
        <v>16</v>
      </c>
      <c r="F3" t="s">
        <v>16</v>
      </c>
      <c r="G3">
        <v>1</v>
      </c>
      <c r="H3" t="s">
        <v>17</v>
      </c>
      <c r="I3" t="s">
        <v>18</v>
      </c>
      <c r="J3" t="s">
        <v>19</v>
      </c>
      <c r="K3" t="s">
        <v>20</v>
      </c>
      <c r="L3">
        <v>4</v>
      </c>
      <c r="M3" s="5">
        <v>70224</v>
      </c>
      <c r="N3" s="5">
        <f>+M3*1.3</f>
        <v>91291.199999999997</v>
      </c>
      <c r="O3" s="2">
        <f>+N3-M3</f>
        <v>21067.199999999997</v>
      </c>
    </row>
    <row r="4" spans="1:15" x14ac:dyDescent="0.2">
      <c r="A4" t="s">
        <v>13</v>
      </c>
      <c r="B4">
        <v>2</v>
      </c>
      <c r="C4" t="s">
        <v>22</v>
      </c>
      <c r="D4" t="s">
        <v>23</v>
      </c>
      <c r="E4" t="s">
        <v>16</v>
      </c>
      <c r="F4" t="s">
        <v>16</v>
      </c>
      <c r="G4">
        <v>2</v>
      </c>
      <c r="H4" t="s">
        <v>24</v>
      </c>
      <c r="I4" t="s">
        <v>25</v>
      </c>
      <c r="J4" t="s">
        <v>26</v>
      </c>
      <c r="K4" t="s">
        <v>27</v>
      </c>
      <c r="L4">
        <v>6</v>
      </c>
      <c r="M4" s="5">
        <v>12203</v>
      </c>
      <c r="N4" s="5">
        <f>+M4*1.3</f>
        <v>15863.9</v>
      </c>
      <c r="O4" s="2">
        <f>+N4-M4</f>
        <v>3660.8999999999996</v>
      </c>
    </row>
    <row r="5" spans="1:15" x14ac:dyDescent="0.2">
      <c r="A5" t="s">
        <v>21</v>
      </c>
      <c r="B5">
        <v>1</v>
      </c>
      <c r="C5" t="s">
        <v>22</v>
      </c>
      <c r="D5" t="s">
        <v>23</v>
      </c>
      <c r="E5" t="s">
        <v>16</v>
      </c>
      <c r="F5" t="s">
        <v>16</v>
      </c>
      <c r="G5">
        <v>2</v>
      </c>
      <c r="H5" t="s">
        <v>24</v>
      </c>
      <c r="I5" t="s">
        <v>25</v>
      </c>
      <c r="J5" t="s">
        <v>26</v>
      </c>
      <c r="K5" t="s">
        <v>27</v>
      </c>
      <c r="L5">
        <v>6</v>
      </c>
      <c r="M5" s="5">
        <v>12203</v>
      </c>
      <c r="N5" s="5">
        <f>+M5*1.3</f>
        <v>15863.9</v>
      </c>
      <c r="O5" s="2">
        <f>+N5-M5</f>
        <v>3660.8999999999996</v>
      </c>
    </row>
    <row r="6" spans="1:15" x14ac:dyDescent="0.2">
      <c r="A6" t="s">
        <v>28</v>
      </c>
      <c r="B6">
        <v>2</v>
      </c>
      <c r="C6" t="s">
        <v>22</v>
      </c>
      <c r="D6" t="s">
        <v>23</v>
      </c>
      <c r="E6" t="s">
        <v>16</v>
      </c>
      <c r="F6" t="s">
        <v>16</v>
      </c>
      <c r="G6">
        <v>2</v>
      </c>
      <c r="H6" t="s">
        <v>24</v>
      </c>
      <c r="I6" t="s">
        <v>25</v>
      </c>
      <c r="J6" t="s">
        <v>26</v>
      </c>
      <c r="K6" t="s">
        <v>27</v>
      </c>
      <c r="L6">
        <v>6</v>
      </c>
      <c r="M6" s="5">
        <v>12203</v>
      </c>
      <c r="N6" s="5">
        <f>+M6*1.3</f>
        <v>15863.9</v>
      </c>
      <c r="O6" s="2">
        <f>+N6-M6</f>
        <v>3660.8999999999996</v>
      </c>
    </row>
    <row r="7" spans="1:15" x14ac:dyDescent="0.2">
      <c r="A7" t="s">
        <v>13</v>
      </c>
      <c r="B7">
        <v>2</v>
      </c>
      <c r="C7" t="s">
        <v>14</v>
      </c>
      <c r="D7" t="s">
        <v>29</v>
      </c>
      <c r="E7" t="s">
        <v>16</v>
      </c>
      <c r="F7" t="s">
        <v>16</v>
      </c>
      <c r="G7">
        <v>4</v>
      </c>
      <c r="H7" t="s">
        <v>30</v>
      </c>
      <c r="I7" t="s">
        <v>31</v>
      </c>
      <c r="J7" t="s">
        <v>32</v>
      </c>
      <c r="K7" t="s">
        <v>27</v>
      </c>
      <c r="L7">
        <v>4</v>
      </c>
      <c r="M7" s="5">
        <v>54139</v>
      </c>
      <c r="N7" s="5">
        <f>+M7*1.3</f>
        <v>70380.7</v>
      </c>
      <c r="O7" s="2">
        <f>+N7-M7</f>
        <v>16241.699999999997</v>
      </c>
    </row>
    <row r="8" spans="1:15" x14ac:dyDescent="0.2">
      <c r="A8" t="s">
        <v>21</v>
      </c>
      <c r="B8">
        <v>1</v>
      </c>
      <c r="C8" t="s">
        <v>14</v>
      </c>
      <c r="D8" t="s">
        <v>29</v>
      </c>
      <c r="E8" t="s">
        <v>16</v>
      </c>
      <c r="F8" t="s">
        <v>16</v>
      </c>
      <c r="G8">
        <v>4</v>
      </c>
      <c r="H8" t="s">
        <v>30</v>
      </c>
      <c r="I8" t="s">
        <v>31</v>
      </c>
      <c r="J8" t="s">
        <v>32</v>
      </c>
      <c r="K8" t="s">
        <v>27</v>
      </c>
      <c r="L8">
        <v>4</v>
      </c>
      <c r="M8" s="5">
        <v>54139</v>
      </c>
      <c r="N8" s="5">
        <f>+M8*1.3</f>
        <v>70380.7</v>
      </c>
      <c r="O8" s="2">
        <f>+N8-M8</f>
        <v>16241.699999999997</v>
      </c>
    </row>
    <row r="9" spans="1:15" x14ac:dyDescent="0.2">
      <c r="A9" t="s">
        <v>13</v>
      </c>
      <c r="B9">
        <v>2</v>
      </c>
      <c r="C9" t="s">
        <v>22</v>
      </c>
      <c r="D9" t="s">
        <v>23</v>
      </c>
      <c r="E9" t="s">
        <v>16</v>
      </c>
      <c r="F9" t="s">
        <v>16</v>
      </c>
      <c r="G9">
        <v>6</v>
      </c>
      <c r="H9" t="s">
        <v>33</v>
      </c>
      <c r="I9" t="s">
        <v>34</v>
      </c>
      <c r="J9" t="s">
        <v>32</v>
      </c>
      <c r="K9" t="s">
        <v>27</v>
      </c>
      <c r="L9">
        <v>6</v>
      </c>
      <c r="M9" s="5">
        <v>43722</v>
      </c>
      <c r="N9" s="5">
        <f>+M9*1.3</f>
        <v>56838.6</v>
      </c>
      <c r="O9" s="2">
        <f>+N9-M9</f>
        <v>13116.599999999999</v>
      </c>
    </row>
    <row r="10" spans="1:15" x14ac:dyDescent="0.2">
      <c r="A10" t="s">
        <v>21</v>
      </c>
      <c r="B10">
        <v>1</v>
      </c>
      <c r="C10" t="s">
        <v>22</v>
      </c>
      <c r="D10" t="s">
        <v>23</v>
      </c>
      <c r="E10" t="s">
        <v>16</v>
      </c>
      <c r="F10" t="s">
        <v>16</v>
      </c>
      <c r="G10">
        <v>6</v>
      </c>
      <c r="H10" t="s">
        <v>33</v>
      </c>
      <c r="I10" t="s">
        <v>34</v>
      </c>
      <c r="J10" t="s">
        <v>32</v>
      </c>
      <c r="K10" t="s">
        <v>27</v>
      </c>
      <c r="L10">
        <v>6</v>
      </c>
      <c r="M10" s="5">
        <v>43722</v>
      </c>
      <c r="N10" s="5">
        <f>+M10*1.3</f>
        <v>56838.6</v>
      </c>
      <c r="O10" s="2">
        <f>+N10-M10</f>
        <v>13116.599999999999</v>
      </c>
    </row>
    <row r="11" spans="1:15" x14ac:dyDescent="0.2">
      <c r="A11" t="s">
        <v>28</v>
      </c>
      <c r="B11">
        <v>2</v>
      </c>
      <c r="C11" t="s">
        <v>22</v>
      </c>
      <c r="D11" t="s">
        <v>23</v>
      </c>
      <c r="E11" t="s">
        <v>16</v>
      </c>
      <c r="F11" t="s">
        <v>16</v>
      </c>
      <c r="G11">
        <v>6</v>
      </c>
      <c r="H11" t="s">
        <v>33</v>
      </c>
      <c r="I11" t="s">
        <v>34</v>
      </c>
      <c r="J11" t="s">
        <v>32</v>
      </c>
      <c r="K11" t="s">
        <v>27</v>
      </c>
      <c r="L11">
        <v>6</v>
      </c>
      <c r="M11" s="5">
        <v>43722</v>
      </c>
      <c r="N11" s="5">
        <f>+M11*1.3</f>
        <v>56838.6</v>
      </c>
      <c r="O11" s="2">
        <f>+N11-M11</f>
        <v>13116.599999999999</v>
      </c>
    </row>
    <row r="12" spans="1:15" x14ac:dyDescent="0.2">
      <c r="A12" t="s">
        <v>35</v>
      </c>
      <c r="B12">
        <v>3</v>
      </c>
      <c r="C12" t="s">
        <v>14</v>
      </c>
      <c r="D12" t="s">
        <v>36</v>
      </c>
      <c r="E12" t="s">
        <v>16</v>
      </c>
      <c r="F12" t="s">
        <v>16</v>
      </c>
      <c r="G12">
        <v>16</v>
      </c>
      <c r="H12" t="s">
        <v>37</v>
      </c>
      <c r="I12" t="s">
        <v>38</v>
      </c>
      <c r="J12" t="s">
        <v>39</v>
      </c>
      <c r="K12" t="s">
        <v>40</v>
      </c>
      <c r="L12">
        <v>12</v>
      </c>
      <c r="M12" s="5">
        <v>55514</v>
      </c>
      <c r="N12" s="5">
        <f>+M12*1.3</f>
        <v>72168.2</v>
      </c>
      <c r="O12" s="2">
        <f>+N12-M12</f>
        <v>16654.199999999997</v>
      </c>
    </row>
    <row r="13" spans="1:15" x14ac:dyDescent="0.2">
      <c r="A13" t="s">
        <v>41</v>
      </c>
      <c r="B13">
        <v>3</v>
      </c>
      <c r="C13" t="s">
        <v>14</v>
      </c>
      <c r="D13" t="s">
        <v>36</v>
      </c>
      <c r="E13" t="s">
        <v>16</v>
      </c>
      <c r="F13" t="s">
        <v>16</v>
      </c>
      <c r="G13">
        <v>16</v>
      </c>
      <c r="H13" t="s">
        <v>37</v>
      </c>
      <c r="I13" t="s">
        <v>38</v>
      </c>
      <c r="J13" t="s">
        <v>39</v>
      </c>
      <c r="K13" t="s">
        <v>40</v>
      </c>
      <c r="L13">
        <v>12</v>
      </c>
      <c r="M13" s="5">
        <v>55514</v>
      </c>
      <c r="N13" s="5">
        <f>+M13*1.3</f>
        <v>72168.2</v>
      </c>
      <c r="O13" s="2">
        <f>+N13-M13</f>
        <v>16654.199999999997</v>
      </c>
    </row>
    <row r="14" spans="1:15" x14ac:dyDescent="0.2">
      <c r="A14" t="s">
        <v>21</v>
      </c>
      <c r="B14">
        <v>1</v>
      </c>
      <c r="C14" t="s">
        <v>14</v>
      </c>
      <c r="D14" t="s">
        <v>36</v>
      </c>
      <c r="E14" t="s">
        <v>16</v>
      </c>
      <c r="F14" t="s">
        <v>16</v>
      </c>
      <c r="G14">
        <v>16</v>
      </c>
      <c r="H14" t="s">
        <v>37</v>
      </c>
      <c r="I14" t="s">
        <v>38</v>
      </c>
      <c r="J14" t="s">
        <v>39</v>
      </c>
      <c r="K14" t="s">
        <v>40</v>
      </c>
      <c r="L14">
        <v>12</v>
      </c>
      <c r="M14" s="5">
        <v>55514</v>
      </c>
      <c r="N14" s="5">
        <f>+M14*1.3</f>
        <v>72168.2</v>
      </c>
      <c r="O14" s="2">
        <f>+N14-M14</f>
        <v>16654.199999999997</v>
      </c>
    </row>
    <row r="15" spans="1:15" x14ac:dyDescent="0.2">
      <c r="A15" t="s">
        <v>28</v>
      </c>
      <c r="B15">
        <v>3</v>
      </c>
      <c r="C15" t="s">
        <v>14</v>
      </c>
      <c r="D15" t="s">
        <v>36</v>
      </c>
      <c r="E15" t="s">
        <v>16</v>
      </c>
      <c r="F15" t="s">
        <v>16</v>
      </c>
      <c r="G15">
        <v>16</v>
      </c>
      <c r="H15" t="s">
        <v>37</v>
      </c>
      <c r="I15" t="s">
        <v>38</v>
      </c>
      <c r="J15" t="s">
        <v>39</v>
      </c>
      <c r="K15" t="s">
        <v>40</v>
      </c>
      <c r="L15">
        <v>12</v>
      </c>
      <c r="M15" s="5">
        <v>55514</v>
      </c>
      <c r="N15" s="5">
        <f>+M15*1.3</f>
        <v>72168.2</v>
      </c>
      <c r="O15" s="2">
        <f>+N15-M15</f>
        <v>16654.199999999997</v>
      </c>
    </row>
    <row r="16" spans="1:15" x14ac:dyDescent="0.2">
      <c r="A16" t="s">
        <v>13</v>
      </c>
      <c r="B16">
        <v>2</v>
      </c>
      <c r="C16" t="s">
        <v>22</v>
      </c>
      <c r="D16" t="s">
        <v>42</v>
      </c>
      <c r="E16" t="s">
        <v>16</v>
      </c>
      <c r="F16" t="s">
        <v>16</v>
      </c>
      <c r="G16">
        <v>4</v>
      </c>
      <c r="H16" t="s">
        <v>43</v>
      </c>
      <c r="I16" t="s">
        <v>44</v>
      </c>
      <c r="J16" t="s">
        <v>32</v>
      </c>
      <c r="K16" t="s">
        <v>27</v>
      </c>
      <c r="L16">
        <v>6</v>
      </c>
      <c r="M16" s="5">
        <v>43361</v>
      </c>
      <c r="N16" s="5">
        <f>+M16*1.3</f>
        <v>56369.3</v>
      </c>
      <c r="O16" s="2">
        <f>+N16-M16</f>
        <v>13008.300000000003</v>
      </c>
    </row>
    <row r="17" spans="1:15" x14ac:dyDescent="0.2">
      <c r="A17" t="s">
        <v>35</v>
      </c>
      <c r="B17">
        <v>2</v>
      </c>
      <c r="C17" t="s">
        <v>22</v>
      </c>
      <c r="D17" t="s">
        <v>42</v>
      </c>
      <c r="E17" t="s">
        <v>16</v>
      </c>
      <c r="F17" t="s">
        <v>16</v>
      </c>
      <c r="G17">
        <v>4</v>
      </c>
      <c r="H17" t="s">
        <v>43</v>
      </c>
      <c r="I17" t="s">
        <v>44</v>
      </c>
      <c r="J17" t="s">
        <v>32</v>
      </c>
      <c r="K17" t="s">
        <v>27</v>
      </c>
      <c r="L17">
        <v>6</v>
      </c>
      <c r="M17" s="5">
        <v>43361</v>
      </c>
      <c r="N17" s="5">
        <f>+M17*1.3</f>
        <v>56369.3</v>
      </c>
      <c r="O17" s="2">
        <f>+N17-M17</f>
        <v>13008.300000000003</v>
      </c>
    </row>
    <row r="18" spans="1:15" x14ac:dyDescent="0.2">
      <c r="A18" t="s">
        <v>21</v>
      </c>
      <c r="B18">
        <v>1</v>
      </c>
      <c r="C18" t="s">
        <v>22</v>
      </c>
      <c r="D18" t="s">
        <v>42</v>
      </c>
      <c r="E18" t="s">
        <v>16</v>
      </c>
      <c r="F18" t="s">
        <v>16</v>
      </c>
      <c r="G18">
        <v>4</v>
      </c>
      <c r="H18" t="s">
        <v>43</v>
      </c>
      <c r="I18" t="s">
        <v>44</v>
      </c>
      <c r="J18" t="s">
        <v>32</v>
      </c>
      <c r="K18" t="s">
        <v>27</v>
      </c>
      <c r="L18">
        <v>6</v>
      </c>
      <c r="M18" s="5">
        <v>43361</v>
      </c>
      <c r="N18" s="5">
        <f>+M18*1.3</f>
        <v>56369.3</v>
      </c>
      <c r="O18" s="2">
        <f>+N18-M18</f>
        <v>13008.300000000003</v>
      </c>
    </row>
    <row r="19" spans="1:15" x14ac:dyDescent="0.2">
      <c r="A19" t="s">
        <v>28</v>
      </c>
      <c r="B19">
        <v>2</v>
      </c>
      <c r="C19" t="s">
        <v>22</v>
      </c>
      <c r="D19" t="s">
        <v>42</v>
      </c>
      <c r="E19" t="s">
        <v>16</v>
      </c>
      <c r="F19" t="s">
        <v>16</v>
      </c>
      <c r="G19">
        <v>4</v>
      </c>
      <c r="H19" t="s">
        <v>43</v>
      </c>
      <c r="I19" t="s">
        <v>44</v>
      </c>
      <c r="J19" t="s">
        <v>32</v>
      </c>
      <c r="K19" t="s">
        <v>27</v>
      </c>
      <c r="L19">
        <v>6</v>
      </c>
      <c r="M19" s="5">
        <v>43361</v>
      </c>
      <c r="N19" s="5">
        <f>+M19*1.3</f>
        <v>56369.3</v>
      </c>
      <c r="O19" s="2">
        <f>+N19-M19</f>
        <v>13008.300000000003</v>
      </c>
    </row>
    <row r="20" spans="1:15" x14ac:dyDescent="0.2">
      <c r="A20" t="s">
        <v>45</v>
      </c>
      <c r="B20">
        <v>1</v>
      </c>
      <c r="C20" t="s">
        <v>14</v>
      </c>
      <c r="D20" t="s">
        <v>46</v>
      </c>
      <c r="E20" t="s">
        <v>16</v>
      </c>
      <c r="F20" t="s">
        <v>16</v>
      </c>
      <c r="G20">
        <v>2</v>
      </c>
      <c r="H20" t="s">
        <v>47</v>
      </c>
      <c r="I20" t="s">
        <v>48</v>
      </c>
      <c r="J20" t="s">
        <v>49</v>
      </c>
      <c r="K20" t="s">
        <v>50</v>
      </c>
      <c r="L20">
        <v>1</v>
      </c>
      <c r="M20" s="5">
        <v>38002</v>
      </c>
      <c r="N20" s="5">
        <f>+M20*1.3</f>
        <v>49402.6</v>
      </c>
      <c r="O20" s="2">
        <f>+N20-M20</f>
        <v>11400.599999999999</v>
      </c>
    </row>
    <row r="21" spans="1:15" x14ac:dyDescent="0.2">
      <c r="A21" t="s">
        <v>41</v>
      </c>
      <c r="B21">
        <v>1</v>
      </c>
      <c r="C21" t="s">
        <v>14</v>
      </c>
      <c r="D21" t="s">
        <v>46</v>
      </c>
      <c r="E21" t="s">
        <v>16</v>
      </c>
      <c r="F21" t="s">
        <v>16</v>
      </c>
      <c r="G21">
        <v>2</v>
      </c>
      <c r="H21" t="s">
        <v>47</v>
      </c>
      <c r="I21" t="s">
        <v>48</v>
      </c>
      <c r="J21" t="s">
        <v>49</v>
      </c>
      <c r="K21" t="s">
        <v>50</v>
      </c>
      <c r="L21">
        <v>1</v>
      </c>
      <c r="M21" s="5">
        <v>38002</v>
      </c>
      <c r="N21" s="5">
        <f>+M21*1.3</f>
        <v>49402.6</v>
      </c>
      <c r="O21" s="2">
        <f>+N21-M21</f>
        <v>11400.599999999999</v>
      </c>
    </row>
    <row r="22" spans="1:15" x14ac:dyDescent="0.2">
      <c r="A22" t="s">
        <v>28</v>
      </c>
      <c r="B22">
        <v>1</v>
      </c>
      <c r="C22" t="s">
        <v>14</v>
      </c>
      <c r="D22" t="s">
        <v>46</v>
      </c>
      <c r="E22" t="s">
        <v>16</v>
      </c>
      <c r="F22" t="s">
        <v>16</v>
      </c>
      <c r="G22">
        <v>2</v>
      </c>
      <c r="H22" t="s">
        <v>47</v>
      </c>
      <c r="I22" t="s">
        <v>48</v>
      </c>
      <c r="J22" t="s">
        <v>49</v>
      </c>
      <c r="K22" t="s">
        <v>50</v>
      </c>
      <c r="L22">
        <v>1</v>
      </c>
      <c r="M22" s="5">
        <v>38002</v>
      </c>
      <c r="N22" s="5">
        <f>+M22*1.3</f>
        <v>49402.6</v>
      </c>
      <c r="O22" s="2">
        <f>+N22-M22</f>
        <v>11400.599999999999</v>
      </c>
    </row>
    <row r="23" spans="1:15" x14ac:dyDescent="0.2">
      <c r="A23" t="s">
        <v>35</v>
      </c>
      <c r="B23">
        <v>3</v>
      </c>
      <c r="C23" t="s">
        <v>14</v>
      </c>
      <c r="D23" t="s">
        <v>36</v>
      </c>
      <c r="E23" t="s">
        <v>16</v>
      </c>
      <c r="F23" t="s">
        <v>16</v>
      </c>
      <c r="G23">
        <v>11</v>
      </c>
      <c r="H23" t="s">
        <v>51</v>
      </c>
      <c r="I23" t="s">
        <v>52</v>
      </c>
      <c r="J23" t="s">
        <v>53</v>
      </c>
      <c r="K23" t="s">
        <v>40</v>
      </c>
      <c r="L23">
        <v>12</v>
      </c>
      <c r="M23" s="5">
        <v>44474</v>
      </c>
      <c r="N23" s="5">
        <f>+M23*1.3</f>
        <v>57816.200000000004</v>
      </c>
      <c r="O23" s="2">
        <f>+N23-M23</f>
        <v>13342.200000000004</v>
      </c>
    </row>
    <row r="24" spans="1:15" x14ac:dyDescent="0.2">
      <c r="A24" t="s">
        <v>41</v>
      </c>
      <c r="B24">
        <v>3</v>
      </c>
      <c r="C24" t="s">
        <v>14</v>
      </c>
      <c r="D24" t="s">
        <v>36</v>
      </c>
      <c r="E24" t="s">
        <v>16</v>
      </c>
      <c r="F24" t="s">
        <v>16</v>
      </c>
      <c r="G24">
        <v>11</v>
      </c>
      <c r="H24" t="s">
        <v>51</v>
      </c>
      <c r="I24" t="s">
        <v>52</v>
      </c>
      <c r="J24" t="s">
        <v>53</v>
      </c>
      <c r="K24" t="s">
        <v>40</v>
      </c>
      <c r="L24">
        <v>12</v>
      </c>
      <c r="M24" s="5">
        <v>44474</v>
      </c>
      <c r="N24" s="5">
        <f>+M24*1.3</f>
        <v>57816.200000000004</v>
      </c>
      <c r="O24" s="2">
        <f>+N24-M24</f>
        <v>13342.200000000004</v>
      </c>
    </row>
    <row r="25" spans="1:15" x14ac:dyDescent="0.2">
      <c r="A25" t="s">
        <v>21</v>
      </c>
      <c r="B25">
        <v>1</v>
      </c>
      <c r="C25" t="s">
        <v>14</v>
      </c>
      <c r="D25" t="s">
        <v>36</v>
      </c>
      <c r="E25" t="s">
        <v>16</v>
      </c>
      <c r="F25" t="s">
        <v>16</v>
      </c>
      <c r="G25">
        <v>11</v>
      </c>
      <c r="H25" t="s">
        <v>51</v>
      </c>
      <c r="I25" t="s">
        <v>52</v>
      </c>
      <c r="J25" t="s">
        <v>53</v>
      </c>
      <c r="K25" t="s">
        <v>40</v>
      </c>
      <c r="L25">
        <v>12</v>
      </c>
      <c r="M25" s="5">
        <v>44474</v>
      </c>
      <c r="N25" s="5">
        <f>+M25*1.3</f>
        <v>57816.200000000004</v>
      </c>
      <c r="O25" s="2">
        <f>+N25-M25</f>
        <v>13342.200000000004</v>
      </c>
    </row>
    <row r="26" spans="1:15" x14ac:dyDescent="0.2">
      <c r="A26" t="s">
        <v>28</v>
      </c>
      <c r="B26">
        <v>3</v>
      </c>
      <c r="C26" t="s">
        <v>14</v>
      </c>
      <c r="D26" t="s">
        <v>36</v>
      </c>
      <c r="E26" t="s">
        <v>16</v>
      </c>
      <c r="F26" t="s">
        <v>16</v>
      </c>
      <c r="G26">
        <v>11</v>
      </c>
      <c r="H26" t="s">
        <v>51</v>
      </c>
      <c r="I26" t="s">
        <v>52</v>
      </c>
      <c r="J26" t="s">
        <v>53</v>
      </c>
      <c r="K26" t="s">
        <v>40</v>
      </c>
      <c r="L26">
        <v>12</v>
      </c>
      <c r="M26" s="5">
        <v>44474</v>
      </c>
      <c r="N26" s="5">
        <f>+M26*1.3</f>
        <v>57816.200000000004</v>
      </c>
      <c r="O26" s="2">
        <f>+N26-M26</f>
        <v>13342.200000000004</v>
      </c>
    </row>
    <row r="27" spans="1:15" x14ac:dyDescent="0.2">
      <c r="A27" t="s">
        <v>13</v>
      </c>
      <c r="B27">
        <v>1</v>
      </c>
      <c r="C27" t="s">
        <v>14</v>
      </c>
      <c r="D27" t="s">
        <v>15</v>
      </c>
      <c r="E27" t="s">
        <v>16</v>
      </c>
      <c r="F27" t="s">
        <v>16</v>
      </c>
      <c r="G27">
        <v>2</v>
      </c>
      <c r="H27" t="s">
        <v>54</v>
      </c>
      <c r="I27" t="s">
        <v>55</v>
      </c>
      <c r="J27" t="s">
        <v>56</v>
      </c>
      <c r="K27" t="s">
        <v>57</v>
      </c>
      <c r="L27">
        <v>1</v>
      </c>
      <c r="M27" s="5">
        <v>648645</v>
      </c>
      <c r="N27" s="5">
        <f>+M27*1.3</f>
        <v>843238.5</v>
      </c>
      <c r="O27" s="2">
        <f>+N27-M27</f>
        <v>194593.5</v>
      </c>
    </row>
    <row r="28" spans="1:15" x14ac:dyDescent="0.2">
      <c r="A28" t="s">
        <v>21</v>
      </c>
      <c r="B28">
        <v>3</v>
      </c>
      <c r="C28" t="s">
        <v>14</v>
      </c>
      <c r="D28" t="s">
        <v>15</v>
      </c>
      <c r="E28" t="s">
        <v>16</v>
      </c>
      <c r="F28" t="s">
        <v>16</v>
      </c>
      <c r="G28">
        <v>2</v>
      </c>
      <c r="H28" t="s">
        <v>54</v>
      </c>
      <c r="I28" t="s">
        <v>55</v>
      </c>
      <c r="J28" t="s">
        <v>56</v>
      </c>
      <c r="K28" t="s">
        <v>57</v>
      </c>
      <c r="L28">
        <v>1</v>
      </c>
      <c r="M28" s="5">
        <v>648645</v>
      </c>
      <c r="N28" s="5">
        <f>+M28*1.3</f>
        <v>843238.5</v>
      </c>
      <c r="O28" s="2">
        <f>+N28-M28</f>
        <v>194593.5</v>
      </c>
    </row>
    <row r="29" spans="1:15" x14ac:dyDescent="0.2">
      <c r="A29" t="s">
        <v>35</v>
      </c>
      <c r="B29">
        <v>3</v>
      </c>
      <c r="C29" t="s">
        <v>14</v>
      </c>
      <c r="D29" t="s">
        <v>36</v>
      </c>
      <c r="E29" t="s">
        <v>16</v>
      </c>
      <c r="F29" t="s">
        <v>16</v>
      </c>
      <c r="G29">
        <v>10</v>
      </c>
      <c r="H29" t="s">
        <v>58</v>
      </c>
      <c r="I29" t="s">
        <v>59</v>
      </c>
      <c r="J29" t="s">
        <v>60</v>
      </c>
      <c r="K29" t="s">
        <v>40</v>
      </c>
      <c r="L29">
        <v>12</v>
      </c>
      <c r="M29" s="5">
        <v>42908</v>
      </c>
      <c r="N29" s="5">
        <f>+M29*1.3</f>
        <v>55780.4</v>
      </c>
      <c r="O29" s="2">
        <f>+N29-M29</f>
        <v>12872.400000000001</v>
      </c>
    </row>
    <row r="30" spans="1:15" x14ac:dyDescent="0.2">
      <c r="A30" t="s">
        <v>41</v>
      </c>
      <c r="B30">
        <v>3</v>
      </c>
      <c r="C30" t="s">
        <v>14</v>
      </c>
      <c r="D30" t="s">
        <v>36</v>
      </c>
      <c r="E30" t="s">
        <v>16</v>
      </c>
      <c r="F30" t="s">
        <v>16</v>
      </c>
      <c r="G30">
        <v>10</v>
      </c>
      <c r="H30" t="s">
        <v>58</v>
      </c>
      <c r="I30" t="s">
        <v>59</v>
      </c>
      <c r="J30" t="s">
        <v>60</v>
      </c>
      <c r="K30" t="s">
        <v>40</v>
      </c>
      <c r="L30">
        <v>12</v>
      </c>
      <c r="M30" s="5">
        <v>42908</v>
      </c>
      <c r="N30" s="5">
        <f>+M30*1.3</f>
        <v>55780.4</v>
      </c>
      <c r="O30" s="2">
        <f>+N30-M30</f>
        <v>12872.400000000001</v>
      </c>
    </row>
    <row r="31" spans="1:15" x14ac:dyDescent="0.2">
      <c r="A31" t="s">
        <v>21</v>
      </c>
      <c r="B31">
        <v>1</v>
      </c>
      <c r="C31" t="s">
        <v>14</v>
      </c>
      <c r="D31" t="s">
        <v>36</v>
      </c>
      <c r="E31" t="s">
        <v>16</v>
      </c>
      <c r="F31" t="s">
        <v>16</v>
      </c>
      <c r="G31">
        <v>10</v>
      </c>
      <c r="H31" t="s">
        <v>58</v>
      </c>
      <c r="I31" t="s">
        <v>59</v>
      </c>
      <c r="J31" t="s">
        <v>60</v>
      </c>
      <c r="K31" t="s">
        <v>40</v>
      </c>
      <c r="L31">
        <v>12</v>
      </c>
      <c r="M31" s="5">
        <v>42908</v>
      </c>
      <c r="N31" s="5">
        <f>+M31*1.3</f>
        <v>55780.4</v>
      </c>
      <c r="O31" s="2">
        <f>+N31-M31</f>
        <v>12872.400000000001</v>
      </c>
    </row>
    <row r="32" spans="1:15" x14ac:dyDescent="0.2">
      <c r="A32" t="s">
        <v>28</v>
      </c>
      <c r="B32">
        <v>3</v>
      </c>
      <c r="C32" t="s">
        <v>14</v>
      </c>
      <c r="D32" t="s">
        <v>36</v>
      </c>
      <c r="E32" t="s">
        <v>16</v>
      </c>
      <c r="F32" t="s">
        <v>16</v>
      </c>
      <c r="G32">
        <v>10</v>
      </c>
      <c r="H32" t="s">
        <v>58</v>
      </c>
      <c r="I32" t="s">
        <v>59</v>
      </c>
      <c r="J32" t="s">
        <v>60</v>
      </c>
      <c r="K32" t="s">
        <v>40</v>
      </c>
      <c r="L32">
        <v>12</v>
      </c>
      <c r="M32" s="5">
        <v>42908</v>
      </c>
      <c r="N32" s="5">
        <f>+M32*1.3</f>
        <v>55780.4</v>
      </c>
      <c r="O32" s="2">
        <f>+N32-M32</f>
        <v>12872.400000000001</v>
      </c>
    </row>
    <row r="33" spans="1:15" x14ac:dyDescent="0.2">
      <c r="A33" t="s">
        <v>13</v>
      </c>
      <c r="B33">
        <v>2</v>
      </c>
      <c r="C33" t="s">
        <v>14</v>
      </c>
      <c r="D33" t="s">
        <v>29</v>
      </c>
      <c r="E33" t="s">
        <v>16</v>
      </c>
      <c r="F33" t="s">
        <v>16</v>
      </c>
      <c r="G33">
        <v>1</v>
      </c>
      <c r="H33" t="s">
        <v>61</v>
      </c>
      <c r="I33" t="s">
        <v>62</v>
      </c>
      <c r="J33" t="s">
        <v>63</v>
      </c>
      <c r="K33" t="s">
        <v>27</v>
      </c>
      <c r="L33">
        <v>6</v>
      </c>
      <c r="M33" s="5">
        <v>58234</v>
      </c>
      <c r="N33" s="5">
        <f>+M33*1.3</f>
        <v>75704.2</v>
      </c>
      <c r="O33" s="2">
        <f>+N33-M33</f>
        <v>17470.199999999997</v>
      </c>
    </row>
    <row r="34" spans="1:15" x14ac:dyDescent="0.2">
      <c r="A34" t="s">
        <v>21</v>
      </c>
      <c r="B34">
        <v>1</v>
      </c>
      <c r="C34" t="s">
        <v>14</v>
      </c>
      <c r="D34" t="s">
        <v>29</v>
      </c>
      <c r="E34" t="s">
        <v>16</v>
      </c>
      <c r="F34" t="s">
        <v>16</v>
      </c>
      <c r="G34">
        <v>1</v>
      </c>
      <c r="H34" t="s">
        <v>61</v>
      </c>
      <c r="I34" t="s">
        <v>62</v>
      </c>
      <c r="J34" t="s">
        <v>63</v>
      </c>
      <c r="K34" t="s">
        <v>27</v>
      </c>
      <c r="L34">
        <v>6</v>
      </c>
      <c r="M34" s="5">
        <v>58234</v>
      </c>
      <c r="N34" s="5">
        <f>+M34*1.3</f>
        <v>75704.2</v>
      </c>
      <c r="O34" s="2">
        <f>+N34-M34</f>
        <v>17470.199999999997</v>
      </c>
    </row>
    <row r="35" spans="1:15" x14ac:dyDescent="0.2">
      <c r="A35" t="s">
        <v>13</v>
      </c>
      <c r="B35">
        <v>2</v>
      </c>
      <c r="C35" t="s">
        <v>22</v>
      </c>
      <c r="D35" t="s">
        <v>23</v>
      </c>
      <c r="E35" t="s">
        <v>16</v>
      </c>
      <c r="F35" t="s">
        <v>16</v>
      </c>
      <c r="G35">
        <v>4</v>
      </c>
      <c r="H35" t="s">
        <v>64</v>
      </c>
      <c r="I35" t="s">
        <v>65</v>
      </c>
      <c r="J35" t="s">
        <v>66</v>
      </c>
      <c r="K35" t="s">
        <v>27</v>
      </c>
      <c r="L35">
        <v>6</v>
      </c>
      <c r="M35" s="5">
        <v>34998</v>
      </c>
      <c r="N35" s="5">
        <f>+M35*1.3</f>
        <v>45497.4</v>
      </c>
      <c r="O35" s="2">
        <f>+N35-M35</f>
        <v>10499.400000000001</v>
      </c>
    </row>
    <row r="36" spans="1:15" x14ac:dyDescent="0.2">
      <c r="A36" t="s">
        <v>21</v>
      </c>
      <c r="B36">
        <v>1</v>
      </c>
      <c r="C36" t="s">
        <v>22</v>
      </c>
      <c r="D36" t="s">
        <v>23</v>
      </c>
      <c r="E36" t="s">
        <v>16</v>
      </c>
      <c r="F36" t="s">
        <v>16</v>
      </c>
      <c r="G36">
        <v>4</v>
      </c>
      <c r="H36" t="s">
        <v>64</v>
      </c>
      <c r="I36" t="s">
        <v>65</v>
      </c>
      <c r="J36" t="s">
        <v>66</v>
      </c>
      <c r="K36" t="s">
        <v>27</v>
      </c>
      <c r="L36">
        <v>6</v>
      </c>
      <c r="M36" s="5">
        <v>34998</v>
      </c>
      <c r="N36" s="5">
        <f>+M36*1.3</f>
        <v>45497.4</v>
      </c>
      <c r="O36" s="2">
        <f>+N36-M36</f>
        <v>10499.400000000001</v>
      </c>
    </row>
    <row r="37" spans="1:15" x14ac:dyDescent="0.2">
      <c r="A37" t="s">
        <v>28</v>
      </c>
      <c r="B37">
        <v>2</v>
      </c>
      <c r="C37" t="s">
        <v>22</v>
      </c>
      <c r="D37" t="s">
        <v>23</v>
      </c>
      <c r="E37" t="s">
        <v>16</v>
      </c>
      <c r="F37" t="s">
        <v>16</v>
      </c>
      <c r="G37">
        <v>4</v>
      </c>
      <c r="H37" t="s">
        <v>64</v>
      </c>
      <c r="I37" t="s">
        <v>65</v>
      </c>
      <c r="J37" t="s">
        <v>66</v>
      </c>
      <c r="K37" t="s">
        <v>27</v>
      </c>
      <c r="L37">
        <v>6</v>
      </c>
      <c r="M37" s="5">
        <v>34998</v>
      </c>
      <c r="N37" s="5">
        <f>+M37*1.3</f>
        <v>45497.4</v>
      </c>
      <c r="O37" s="2">
        <f>+N37-M37</f>
        <v>10499.400000000001</v>
      </c>
    </row>
    <row r="38" spans="1:15" x14ac:dyDescent="0.2">
      <c r="A38" t="s">
        <v>41</v>
      </c>
      <c r="B38">
        <v>1</v>
      </c>
      <c r="C38" t="s">
        <v>14</v>
      </c>
      <c r="D38" t="s">
        <v>67</v>
      </c>
      <c r="E38" t="s">
        <v>16</v>
      </c>
      <c r="F38" t="s">
        <v>16</v>
      </c>
      <c r="G38">
        <v>1</v>
      </c>
      <c r="H38" t="s">
        <v>68</v>
      </c>
      <c r="I38" t="s">
        <v>69</v>
      </c>
      <c r="J38" t="s">
        <v>70</v>
      </c>
      <c r="K38" t="s">
        <v>50</v>
      </c>
      <c r="L38">
        <v>1</v>
      </c>
      <c r="M38" s="5">
        <v>41000</v>
      </c>
      <c r="N38" s="5">
        <f>+M38*1.3</f>
        <v>53300</v>
      </c>
      <c r="O38" s="2">
        <f>+N38-M38</f>
        <v>12300</v>
      </c>
    </row>
    <row r="39" spans="1:15" x14ac:dyDescent="0.2">
      <c r="A39" t="s">
        <v>28</v>
      </c>
      <c r="B39">
        <v>1</v>
      </c>
      <c r="C39" t="s">
        <v>14</v>
      </c>
      <c r="D39" t="s">
        <v>67</v>
      </c>
      <c r="E39" t="s">
        <v>16</v>
      </c>
      <c r="F39" t="s">
        <v>16</v>
      </c>
      <c r="G39">
        <v>1</v>
      </c>
      <c r="H39" t="s">
        <v>68</v>
      </c>
      <c r="I39" t="s">
        <v>69</v>
      </c>
      <c r="J39" t="s">
        <v>70</v>
      </c>
      <c r="K39" t="s">
        <v>50</v>
      </c>
      <c r="L39">
        <v>1</v>
      </c>
      <c r="M39" s="5">
        <v>41000</v>
      </c>
      <c r="N39" s="5">
        <f>+M39*1.3</f>
        <v>53300</v>
      </c>
      <c r="O39" s="2">
        <f>+N39-M39</f>
        <v>12300</v>
      </c>
    </row>
    <row r="40" spans="1:15" x14ac:dyDescent="0.2">
      <c r="A40" t="s">
        <v>13</v>
      </c>
      <c r="B40">
        <v>1</v>
      </c>
      <c r="C40" t="s">
        <v>14</v>
      </c>
      <c r="D40" t="s">
        <v>29</v>
      </c>
      <c r="E40" t="s">
        <v>16</v>
      </c>
      <c r="F40" t="s">
        <v>16</v>
      </c>
      <c r="G40">
        <v>6</v>
      </c>
      <c r="H40" t="s">
        <v>71</v>
      </c>
      <c r="I40" t="s">
        <v>72</v>
      </c>
      <c r="J40" t="s">
        <v>39</v>
      </c>
      <c r="K40" t="s">
        <v>40</v>
      </c>
      <c r="L40">
        <v>12</v>
      </c>
      <c r="M40" s="5">
        <v>42478</v>
      </c>
      <c r="N40" s="5">
        <f>+M40*1.3</f>
        <v>55221.4</v>
      </c>
      <c r="O40" s="2">
        <f>+N40-M40</f>
        <v>12743.400000000001</v>
      </c>
    </row>
    <row r="41" spans="1:15" x14ac:dyDescent="0.2">
      <c r="A41" t="s">
        <v>21</v>
      </c>
      <c r="B41">
        <v>1</v>
      </c>
      <c r="C41" t="s">
        <v>14</v>
      </c>
      <c r="D41" t="s">
        <v>29</v>
      </c>
      <c r="E41" t="s">
        <v>16</v>
      </c>
      <c r="F41" t="s">
        <v>16</v>
      </c>
      <c r="G41">
        <v>6</v>
      </c>
      <c r="H41" t="s">
        <v>71</v>
      </c>
      <c r="I41" t="s">
        <v>72</v>
      </c>
      <c r="J41" t="s">
        <v>39</v>
      </c>
      <c r="K41" t="s">
        <v>40</v>
      </c>
      <c r="L41">
        <v>12</v>
      </c>
      <c r="M41" s="5">
        <v>42478</v>
      </c>
      <c r="N41" s="5">
        <f>+M41*1.3</f>
        <v>55221.4</v>
      </c>
      <c r="O41" s="2">
        <f>+N41-M41</f>
        <v>12743.400000000001</v>
      </c>
    </row>
    <row r="42" spans="1:15" x14ac:dyDescent="0.2">
      <c r="A42" t="s">
        <v>13</v>
      </c>
      <c r="B42">
        <v>1</v>
      </c>
      <c r="C42" t="s">
        <v>14</v>
      </c>
      <c r="D42" t="s">
        <v>15</v>
      </c>
      <c r="E42" t="s">
        <v>16</v>
      </c>
      <c r="F42" t="s">
        <v>16</v>
      </c>
      <c r="G42">
        <v>5</v>
      </c>
      <c r="H42" t="s">
        <v>73</v>
      </c>
      <c r="I42" t="s">
        <v>74</v>
      </c>
      <c r="J42" t="s">
        <v>39</v>
      </c>
      <c r="K42" t="s">
        <v>40</v>
      </c>
      <c r="L42">
        <v>12</v>
      </c>
      <c r="M42" s="5">
        <v>42989</v>
      </c>
      <c r="N42" s="5">
        <f>+M42*1.3</f>
        <v>55885.700000000004</v>
      </c>
      <c r="O42" s="2">
        <f>+N42-M42</f>
        <v>12896.700000000004</v>
      </c>
    </row>
    <row r="43" spans="1:15" x14ac:dyDescent="0.2">
      <c r="A43" t="s">
        <v>21</v>
      </c>
      <c r="B43">
        <v>1</v>
      </c>
      <c r="C43" t="s">
        <v>14</v>
      </c>
      <c r="D43" t="s">
        <v>15</v>
      </c>
      <c r="E43" t="s">
        <v>16</v>
      </c>
      <c r="F43" t="s">
        <v>16</v>
      </c>
      <c r="G43">
        <v>5</v>
      </c>
      <c r="H43" t="s">
        <v>73</v>
      </c>
      <c r="I43" t="s">
        <v>74</v>
      </c>
      <c r="J43" t="s">
        <v>39</v>
      </c>
      <c r="K43" t="s">
        <v>40</v>
      </c>
      <c r="L43">
        <v>12</v>
      </c>
      <c r="M43" s="5">
        <v>42989</v>
      </c>
      <c r="N43" s="5">
        <f>+M43*1.3</f>
        <v>55885.700000000004</v>
      </c>
      <c r="O43" s="2">
        <f>+N43-M43</f>
        <v>12896.700000000004</v>
      </c>
    </row>
    <row r="44" spans="1:15" x14ac:dyDescent="0.2">
      <c r="A44" t="s">
        <v>35</v>
      </c>
      <c r="B44">
        <v>3</v>
      </c>
      <c r="C44" t="s">
        <v>14</v>
      </c>
      <c r="D44" t="s">
        <v>36</v>
      </c>
      <c r="E44" t="s">
        <v>16</v>
      </c>
      <c r="F44" t="s">
        <v>16</v>
      </c>
      <c r="G44">
        <v>15</v>
      </c>
      <c r="H44" t="s">
        <v>75</v>
      </c>
      <c r="I44" t="s">
        <v>76</v>
      </c>
      <c r="J44" t="s">
        <v>39</v>
      </c>
      <c r="K44" t="s">
        <v>40</v>
      </c>
      <c r="L44">
        <v>12</v>
      </c>
      <c r="M44" s="5">
        <v>53336</v>
      </c>
      <c r="N44" s="5">
        <f>+M44*1.3</f>
        <v>69336.800000000003</v>
      </c>
      <c r="O44" s="2">
        <f>+N44-M44</f>
        <v>16000.800000000003</v>
      </c>
    </row>
    <row r="45" spans="1:15" x14ac:dyDescent="0.2">
      <c r="A45" t="s">
        <v>41</v>
      </c>
      <c r="B45">
        <v>3</v>
      </c>
      <c r="C45" t="s">
        <v>14</v>
      </c>
      <c r="D45" t="s">
        <v>36</v>
      </c>
      <c r="E45" t="s">
        <v>16</v>
      </c>
      <c r="F45" t="s">
        <v>16</v>
      </c>
      <c r="G45">
        <v>15</v>
      </c>
      <c r="H45" t="s">
        <v>75</v>
      </c>
      <c r="I45" t="s">
        <v>76</v>
      </c>
      <c r="J45" t="s">
        <v>39</v>
      </c>
      <c r="K45" t="s">
        <v>40</v>
      </c>
      <c r="L45">
        <v>12</v>
      </c>
      <c r="M45" s="5">
        <v>53336</v>
      </c>
      <c r="N45" s="5">
        <f>+M45*1.3</f>
        <v>69336.800000000003</v>
      </c>
      <c r="O45" s="2">
        <f>+N45-M45</f>
        <v>16000.800000000003</v>
      </c>
    </row>
    <row r="46" spans="1:15" x14ac:dyDescent="0.2">
      <c r="A46" t="s">
        <v>21</v>
      </c>
      <c r="B46">
        <v>1</v>
      </c>
      <c r="C46" t="s">
        <v>14</v>
      </c>
      <c r="D46" t="s">
        <v>36</v>
      </c>
      <c r="E46" t="s">
        <v>16</v>
      </c>
      <c r="F46" t="s">
        <v>16</v>
      </c>
      <c r="G46">
        <v>15</v>
      </c>
      <c r="H46" t="s">
        <v>75</v>
      </c>
      <c r="I46" t="s">
        <v>76</v>
      </c>
      <c r="J46" t="s">
        <v>39</v>
      </c>
      <c r="K46" t="s">
        <v>40</v>
      </c>
      <c r="L46">
        <v>12</v>
      </c>
      <c r="M46" s="5">
        <v>53336</v>
      </c>
      <c r="N46" s="5">
        <f>+M46*1.3</f>
        <v>69336.800000000003</v>
      </c>
      <c r="O46" s="2">
        <f>+N46-M46</f>
        <v>16000.800000000003</v>
      </c>
    </row>
    <row r="47" spans="1:15" x14ac:dyDescent="0.2">
      <c r="A47" t="s">
        <v>28</v>
      </c>
      <c r="B47">
        <v>3</v>
      </c>
      <c r="C47" t="s">
        <v>14</v>
      </c>
      <c r="D47" t="s">
        <v>36</v>
      </c>
      <c r="E47" t="s">
        <v>16</v>
      </c>
      <c r="F47" t="s">
        <v>16</v>
      </c>
      <c r="G47">
        <v>15</v>
      </c>
      <c r="H47" t="s">
        <v>75</v>
      </c>
      <c r="I47" t="s">
        <v>76</v>
      </c>
      <c r="J47" t="s">
        <v>39</v>
      </c>
      <c r="K47" t="s">
        <v>40</v>
      </c>
      <c r="L47">
        <v>12</v>
      </c>
      <c r="M47" s="5">
        <v>53336</v>
      </c>
      <c r="N47" s="5">
        <f>+M47*1.3</f>
        <v>69336.800000000003</v>
      </c>
      <c r="O47" s="2">
        <f>+N47-M47</f>
        <v>16000.800000000003</v>
      </c>
    </row>
    <row r="48" spans="1:15" x14ac:dyDescent="0.2">
      <c r="A48" t="s">
        <v>13</v>
      </c>
      <c r="B48">
        <v>1</v>
      </c>
      <c r="C48" t="s">
        <v>14</v>
      </c>
      <c r="D48" t="s">
        <v>29</v>
      </c>
      <c r="E48" t="s">
        <v>16</v>
      </c>
      <c r="F48" t="s">
        <v>16</v>
      </c>
      <c r="G48">
        <v>7</v>
      </c>
      <c r="H48" t="s">
        <v>77</v>
      </c>
      <c r="I48" t="s">
        <v>78</v>
      </c>
      <c r="J48" t="s">
        <v>39</v>
      </c>
      <c r="K48" t="s">
        <v>40</v>
      </c>
      <c r="L48">
        <v>12</v>
      </c>
      <c r="M48" s="5">
        <v>46163</v>
      </c>
      <c r="N48" s="5">
        <f>+M48*1.3</f>
        <v>60011.9</v>
      </c>
      <c r="O48" s="2">
        <f>+N48-M48</f>
        <v>13848.900000000001</v>
      </c>
    </row>
    <row r="49" spans="1:15" x14ac:dyDescent="0.2">
      <c r="A49" t="s">
        <v>21</v>
      </c>
      <c r="B49">
        <v>1</v>
      </c>
      <c r="C49" t="s">
        <v>14</v>
      </c>
      <c r="D49" t="s">
        <v>29</v>
      </c>
      <c r="E49" t="s">
        <v>16</v>
      </c>
      <c r="F49" t="s">
        <v>16</v>
      </c>
      <c r="G49">
        <v>7</v>
      </c>
      <c r="H49" t="s">
        <v>77</v>
      </c>
      <c r="I49" t="s">
        <v>78</v>
      </c>
      <c r="J49" t="s">
        <v>39</v>
      </c>
      <c r="K49" t="s">
        <v>40</v>
      </c>
      <c r="L49">
        <v>12</v>
      </c>
      <c r="M49" s="5">
        <v>46163</v>
      </c>
      <c r="N49" s="5">
        <f>+M49*1.3</f>
        <v>60011.9</v>
      </c>
      <c r="O49" s="2">
        <f>+N49-M49</f>
        <v>13848.900000000001</v>
      </c>
    </row>
    <row r="50" spans="1:15" x14ac:dyDescent="0.2">
      <c r="A50" t="s">
        <v>13</v>
      </c>
      <c r="B50">
        <v>2</v>
      </c>
      <c r="C50" t="s">
        <v>22</v>
      </c>
      <c r="D50" t="s">
        <v>42</v>
      </c>
      <c r="E50" t="s">
        <v>16</v>
      </c>
      <c r="F50" t="s">
        <v>16</v>
      </c>
      <c r="G50">
        <v>2</v>
      </c>
      <c r="H50" t="s">
        <v>79</v>
      </c>
      <c r="I50" t="s">
        <v>80</v>
      </c>
      <c r="J50" t="s">
        <v>26</v>
      </c>
      <c r="K50" t="s">
        <v>27</v>
      </c>
      <c r="L50">
        <v>6</v>
      </c>
      <c r="M50" s="5">
        <v>10891</v>
      </c>
      <c r="N50" s="5">
        <f>+M50*1.3</f>
        <v>14158.300000000001</v>
      </c>
      <c r="O50" s="2">
        <f>+N50-M50</f>
        <v>3267.3000000000011</v>
      </c>
    </row>
    <row r="51" spans="1:15" x14ac:dyDescent="0.2">
      <c r="A51" t="s">
        <v>35</v>
      </c>
      <c r="B51">
        <v>2</v>
      </c>
      <c r="C51" t="s">
        <v>22</v>
      </c>
      <c r="D51" t="s">
        <v>42</v>
      </c>
      <c r="E51" t="s">
        <v>16</v>
      </c>
      <c r="F51" t="s">
        <v>16</v>
      </c>
      <c r="G51">
        <v>2</v>
      </c>
      <c r="H51" t="s">
        <v>79</v>
      </c>
      <c r="I51" t="s">
        <v>80</v>
      </c>
      <c r="J51" t="s">
        <v>26</v>
      </c>
      <c r="K51" t="s">
        <v>27</v>
      </c>
      <c r="L51">
        <v>6</v>
      </c>
      <c r="M51" s="5">
        <v>10891</v>
      </c>
      <c r="N51" s="5">
        <f>+M51*1.3</f>
        <v>14158.300000000001</v>
      </c>
      <c r="O51" s="2">
        <f>+N51-M51</f>
        <v>3267.3000000000011</v>
      </c>
    </row>
    <row r="52" spans="1:15" x14ac:dyDescent="0.2">
      <c r="A52" t="s">
        <v>21</v>
      </c>
      <c r="B52">
        <v>1</v>
      </c>
      <c r="C52" t="s">
        <v>22</v>
      </c>
      <c r="D52" t="s">
        <v>42</v>
      </c>
      <c r="E52" t="s">
        <v>16</v>
      </c>
      <c r="F52" t="s">
        <v>16</v>
      </c>
      <c r="G52">
        <v>2</v>
      </c>
      <c r="H52" t="s">
        <v>79</v>
      </c>
      <c r="I52" t="s">
        <v>80</v>
      </c>
      <c r="J52" t="s">
        <v>26</v>
      </c>
      <c r="K52" t="s">
        <v>27</v>
      </c>
      <c r="L52">
        <v>6</v>
      </c>
      <c r="M52" s="5">
        <v>10891</v>
      </c>
      <c r="N52" s="5">
        <f>+M52*1.3</f>
        <v>14158.300000000001</v>
      </c>
      <c r="O52" s="2">
        <f>+N52-M52</f>
        <v>3267.3000000000011</v>
      </c>
    </row>
    <row r="53" spans="1:15" x14ac:dyDescent="0.2">
      <c r="A53" t="s">
        <v>28</v>
      </c>
      <c r="B53">
        <v>2</v>
      </c>
      <c r="C53" t="s">
        <v>22</v>
      </c>
      <c r="D53" t="s">
        <v>42</v>
      </c>
      <c r="E53" t="s">
        <v>16</v>
      </c>
      <c r="F53" t="s">
        <v>16</v>
      </c>
      <c r="G53">
        <v>2</v>
      </c>
      <c r="H53" t="s">
        <v>79</v>
      </c>
      <c r="I53" t="s">
        <v>80</v>
      </c>
      <c r="J53" t="s">
        <v>26</v>
      </c>
      <c r="K53" t="s">
        <v>27</v>
      </c>
      <c r="L53">
        <v>6</v>
      </c>
      <c r="M53" s="5">
        <v>10891</v>
      </c>
      <c r="N53" s="5">
        <f>+M53*1.3</f>
        <v>14158.300000000001</v>
      </c>
      <c r="O53" s="2">
        <f>+N53-M53</f>
        <v>3267.3000000000011</v>
      </c>
    </row>
    <row r="54" spans="1:15" x14ac:dyDescent="0.2">
      <c r="A54" t="s">
        <v>13</v>
      </c>
      <c r="B54">
        <v>2</v>
      </c>
      <c r="C54" t="s">
        <v>14</v>
      </c>
      <c r="D54" t="s">
        <v>15</v>
      </c>
      <c r="E54" t="s">
        <v>16</v>
      </c>
      <c r="F54" t="s">
        <v>16</v>
      </c>
      <c r="G54">
        <v>6</v>
      </c>
      <c r="H54" t="s">
        <v>81</v>
      </c>
      <c r="I54" t="s">
        <v>82</v>
      </c>
      <c r="J54" t="s">
        <v>32</v>
      </c>
      <c r="K54" t="s">
        <v>27</v>
      </c>
      <c r="L54">
        <v>4</v>
      </c>
      <c r="M54" s="5">
        <v>62633</v>
      </c>
      <c r="N54" s="5">
        <f>+M54*1.3</f>
        <v>81422.900000000009</v>
      </c>
      <c r="O54" s="2">
        <f>+N54-M54</f>
        <v>18789.900000000009</v>
      </c>
    </row>
    <row r="55" spans="1:15" x14ac:dyDescent="0.2">
      <c r="A55" t="s">
        <v>21</v>
      </c>
      <c r="B55">
        <v>1</v>
      </c>
      <c r="C55" t="s">
        <v>14</v>
      </c>
      <c r="D55" t="s">
        <v>15</v>
      </c>
      <c r="E55" t="s">
        <v>16</v>
      </c>
      <c r="F55" t="s">
        <v>16</v>
      </c>
      <c r="G55">
        <v>6</v>
      </c>
      <c r="H55" t="s">
        <v>81</v>
      </c>
      <c r="I55" t="s">
        <v>82</v>
      </c>
      <c r="J55" t="s">
        <v>32</v>
      </c>
      <c r="K55" t="s">
        <v>27</v>
      </c>
      <c r="L55">
        <v>4</v>
      </c>
      <c r="M55" s="5">
        <v>62633</v>
      </c>
      <c r="N55" s="5">
        <f>+M55*1.3</f>
        <v>81422.900000000009</v>
      </c>
      <c r="O55" s="2">
        <f>+N55-M55</f>
        <v>18789.900000000009</v>
      </c>
    </row>
    <row r="56" spans="1:15" x14ac:dyDescent="0.2">
      <c r="A56" t="s">
        <v>13</v>
      </c>
      <c r="B56">
        <v>2</v>
      </c>
      <c r="C56" t="s">
        <v>14</v>
      </c>
      <c r="D56" t="s">
        <v>15</v>
      </c>
      <c r="E56" t="s">
        <v>16</v>
      </c>
      <c r="F56" t="s">
        <v>16</v>
      </c>
      <c r="G56">
        <v>4</v>
      </c>
      <c r="H56" t="s">
        <v>83</v>
      </c>
      <c r="I56" t="s">
        <v>84</v>
      </c>
      <c r="J56" t="s">
        <v>66</v>
      </c>
      <c r="K56" t="s">
        <v>27</v>
      </c>
      <c r="L56">
        <v>4</v>
      </c>
      <c r="M56" s="5">
        <v>53112</v>
      </c>
      <c r="N56" s="5">
        <f>+M56*1.3</f>
        <v>69045.600000000006</v>
      </c>
      <c r="O56" s="2">
        <f>+N56-M56</f>
        <v>15933.600000000006</v>
      </c>
    </row>
    <row r="57" spans="1:15" x14ac:dyDescent="0.2">
      <c r="A57" t="s">
        <v>21</v>
      </c>
      <c r="B57">
        <v>1</v>
      </c>
      <c r="C57" t="s">
        <v>14</v>
      </c>
      <c r="D57" t="s">
        <v>15</v>
      </c>
      <c r="E57" t="s">
        <v>16</v>
      </c>
      <c r="F57" t="s">
        <v>16</v>
      </c>
      <c r="G57">
        <v>4</v>
      </c>
      <c r="H57" t="s">
        <v>83</v>
      </c>
      <c r="I57" t="s">
        <v>84</v>
      </c>
      <c r="J57" t="s">
        <v>66</v>
      </c>
      <c r="K57" t="s">
        <v>27</v>
      </c>
      <c r="L57">
        <v>4</v>
      </c>
      <c r="M57" s="5">
        <v>53112</v>
      </c>
      <c r="N57" s="5">
        <f>+M57*1.3</f>
        <v>69045.600000000006</v>
      </c>
      <c r="O57" s="2">
        <f>+N57-M57</f>
        <v>15933.600000000006</v>
      </c>
    </row>
    <row r="58" spans="1:15" x14ac:dyDescent="0.2">
      <c r="A58" t="s">
        <v>13</v>
      </c>
      <c r="B58">
        <v>3</v>
      </c>
      <c r="C58" t="s">
        <v>14</v>
      </c>
      <c r="D58" t="s">
        <v>85</v>
      </c>
      <c r="E58" t="s">
        <v>16</v>
      </c>
      <c r="F58" t="s">
        <v>16</v>
      </c>
      <c r="G58">
        <v>2</v>
      </c>
      <c r="H58" t="s">
        <v>86</v>
      </c>
      <c r="I58" t="s">
        <v>87</v>
      </c>
      <c r="J58" t="s">
        <v>70</v>
      </c>
      <c r="K58" t="s">
        <v>50</v>
      </c>
      <c r="L58">
        <v>1</v>
      </c>
      <c r="M58" s="5">
        <v>53245</v>
      </c>
      <c r="N58" s="5">
        <f>+M58*1.3</f>
        <v>69218.5</v>
      </c>
      <c r="O58" s="2">
        <f>+N58-M58</f>
        <v>15973.5</v>
      </c>
    </row>
    <row r="59" spans="1:15" x14ac:dyDescent="0.2">
      <c r="A59" t="s">
        <v>21</v>
      </c>
      <c r="B59">
        <v>2</v>
      </c>
      <c r="C59" t="s">
        <v>14</v>
      </c>
      <c r="D59" t="s">
        <v>85</v>
      </c>
      <c r="E59" t="s">
        <v>16</v>
      </c>
      <c r="F59" t="s">
        <v>16</v>
      </c>
      <c r="G59">
        <v>2</v>
      </c>
      <c r="H59" t="s">
        <v>86</v>
      </c>
      <c r="I59" t="s">
        <v>87</v>
      </c>
      <c r="J59" t="s">
        <v>70</v>
      </c>
      <c r="K59" t="s">
        <v>50</v>
      </c>
      <c r="L59">
        <v>1</v>
      </c>
      <c r="M59" s="5">
        <v>53245</v>
      </c>
      <c r="N59" s="5">
        <f>+M59*1.3</f>
        <v>69218.5</v>
      </c>
      <c r="O59" s="2">
        <f>+N59-M59</f>
        <v>15973.5</v>
      </c>
    </row>
    <row r="60" spans="1:15" x14ac:dyDescent="0.2">
      <c r="A60" t="s">
        <v>88</v>
      </c>
      <c r="B60">
        <v>1</v>
      </c>
      <c r="C60" t="s">
        <v>14</v>
      </c>
      <c r="D60" t="s">
        <v>89</v>
      </c>
      <c r="E60" t="s">
        <v>16</v>
      </c>
      <c r="F60" t="s">
        <v>16</v>
      </c>
      <c r="G60">
        <v>87</v>
      </c>
      <c r="H60" t="s">
        <v>90</v>
      </c>
      <c r="I60" t="s">
        <v>91</v>
      </c>
      <c r="J60" t="s">
        <v>39</v>
      </c>
      <c r="K60" t="s">
        <v>40</v>
      </c>
      <c r="L60">
        <v>12</v>
      </c>
      <c r="M60" s="5">
        <v>45097</v>
      </c>
      <c r="N60" s="5">
        <f>+M60*1.3</f>
        <v>58626.1</v>
      </c>
      <c r="O60" s="2">
        <f>+N60-M60</f>
        <v>13529.099999999999</v>
      </c>
    </row>
    <row r="61" spans="1:15" x14ac:dyDescent="0.2">
      <c r="A61" t="s">
        <v>13</v>
      </c>
      <c r="B61">
        <v>2</v>
      </c>
      <c r="C61" t="s">
        <v>14</v>
      </c>
      <c r="D61" t="s">
        <v>85</v>
      </c>
      <c r="E61" t="s">
        <v>16</v>
      </c>
      <c r="F61" t="s">
        <v>16</v>
      </c>
      <c r="G61">
        <v>3</v>
      </c>
      <c r="H61" t="s">
        <v>92</v>
      </c>
      <c r="I61" t="s">
        <v>93</v>
      </c>
      <c r="J61" t="s">
        <v>26</v>
      </c>
      <c r="K61" t="s">
        <v>27</v>
      </c>
      <c r="L61">
        <v>6</v>
      </c>
      <c r="M61" s="5">
        <v>73476</v>
      </c>
      <c r="N61" s="5">
        <f>+M61*1.3</f>
        <v>95518.8</v>
      </c>
      <c r="O61" s="2">
        <f>+N61-M61</f>
        <v>22042.800000000003</v>
      </c>
    </row>
    <row r="62" spans="1:15" x14ac:dyDescent="0.2">
      <c r="A62" t="s">
        <v>21</v>
      </c>
      <c r="B62">
        <v>1</v>
      </c>
      <c r="C62" t="s">
        <v>14</v>
      </c>
      <c r="D62" t="s">
        <v>85</v>
      </c>
      <c r="E62" t="s">
        <v>16</v>
      </c>
      <c r="F62" t="s">
        <v>16</v>
      </c>
      <c r="G62">
        <v>3</v>
      </c>
      <c r="H62" t="s">
        <v>92</v>
      </c>
      <c r="I62" t="s">
        <v>93</v>
      </c>
      <c r="J62" t="s">
        <v>26</v>
      </c>
      <c r="K62" t="s">
        <v>27</v>
      </c>
      <c r="L62">
        <v>6</v>
      </c>
      <c r="M62" s="5">
        <v>73476</v>
      </c>
      <c r="N62" s="5">
        <f>+M62*1.3</f>
        <v>95518.8</v>
      </c>
      <c r="O62" s="2">
        <f>+N62-M62</f>
        <v>22042.800000000003</v>
      </c>
    </row>
    <row r="63" spans="1:15" x14ac:dyDescent="0.2">
      <c r="A63" t="s">
        <v>88</v>
      </c>
      <c r="B63">
        <v>1</v>
      </c>
      <c r="C63" t="s">
        <v>94</v>
      </c>
      <c r="D63" t="s">
        <v>89</v>
      </c>
      <c r="E63" t="s">
        <v>16</v>
      </c>
      <c r="F63" t="s">
        <v>16</v>
      </c>
      <c r="G63">
        <v>23</v>
      </c>
      <c r="H63" t="s">
        <v>95</v>
      </c>
      <c r="I63" t="s">
        <v>96</v>
      </c>
      <c r="J63" t="s">
        <v>97</v>
      </c>
      <c r="K63" t="s">
        <v>98</v>
      </c>
      <c r="L63">
        <v>12</v>
      </c>
      <c r="M63" s="5">
        <v>27044</v>
      </c>
      <c r="N63" s="5">
        <f>+M63*1.3</f>
        <v>35157.200000000004</v>
      </c>
      <c r="O63" s="2">
        <f>+N63-M63</f>
        <v>8113.2000000000044</v>
      </c>
    </row>
    <row r="64" spans="1:15" x14ac:dyDescent="0.2">
      <c r="A64" t="s">
        <v>88</v>
      </c>
      <c r="B64">
        <v>1</v>
      </c>
      <c r="C64" t="s">
        <v>14</v>
      </c>
      <c r="D64" t="s">
        <v>89</v>
      </c>
      <c r="E64" t="s">
        <v>16</v>
      </c>
      <c r="F64" t="s">
        <v>16</v>
      </c>
      <c r="G64">
        <v>23</v>
      </c>
      <c r="H64" t="s">
        <v>99</v>
      </c>
      <c r="I64" t="s">
        <v>100</v>
      </c>
      <c r="J64" t="s">
        <v>32</v>
      </c>
      <c r="K64" t="s">
        <v>27</v>
      </c>
      <c r="L64">
        <v>6</v>
      </c>
      <c r="M64" s="5">
        <v>61212</v>
      </c>
      <c r="N64" s="5">
        <f>+M64*1.3</f>
        <v>79575.600000000006</v>
      </c>
      <c r="O64" s="2">
        <f>+N64-M64</f>
        <v>18363.600000000006</v>
      </c>
    </row>
    <row r="65" spans="1:15" x14ac:dyDescent="0.2">
      <c r="A65" t="s">
        <v>88</v>
      </c>
      <c r="B65">
        <v>2</v>
      </c>
      <c r="C65" t="s">
        <v>14</v>
      </c>
      <c r="D65" t="s">
        <v>89</v>
      </c>
      <c r="E65" t="s">
        <v>16</v>
      </c>
      <c r="F65" t="s">
        <v>16</v>
      </c>
      <c r="G65">
        <v>2</v>
      </c>
      <c r="H65" t="s">
        <v>101</v>
      </c>
      <c r="I65" t="s">
        <v>102</v>
      </c>
      <c r="J65" t="s">
        <v>103</v>
      </c>
      <c r="K65" t="s">
        <v>50</v>
      </c>
      <c r="L65">
        <v>1</v>
      </c>
      <c r="M65" s="5">
        <v>39203</v>
      </c>
      <c r="N65" s="5">
        <f>+M65*1.3</f>
        <v>50963.9</v>
      </c>
      <c r="O65" s="2">
        <f>+N65-M65</f>
        <v>11760.900000000001</v>
      </c>
    </row>
    <row r="66" spans="1:15" x14ac:dyDescent="0.2">
      <c r="A66" t="s">
        <v>88</v>
      </c>
      <c r="B66">
        <v>1</v>
      </c>
      <c r="C66" t="s">
        <v>14</v>
      </c>
      <c r="D66" t="s">
        <v>89</v>
      </c>
      <c r="E66" t="s">
        <v>16</v>
      </c>
      <c r="F66" t="s">
        <v>16</v>
      </c>
      <c r="G66">
        <v>67</v>
      </c>
      <c r="H66" t="s">
        <v>104</v>
      </c>
      <c r="I66" t="s">
        <v>105</v>
      </c>
      <c r="J66" t="s">
        <v>39</v>
      </c>
      <c r="K66" t="s">
        <v>40</v>
      </c>
      <c r="L66">
        <v>12</v>
      </c>
      <c r="M66" s="5">
        <v>33633</v>
      </c>
      <c r="N66" s="5">
        <f>+M66*1.3</f>
        <v>43722.9</v>
      </c>
      <c r="O66" s="2">
        <f>+N66-M66</f>
        <v>10089.900000000001</v>
      </c>
    </row>
    <row r="67" spans="1:15" x14ac:dyDescent="0.2">
      <c r="A67" t="s">
        <v>13</v>
      </c>
      <c r="B67">
        <v>1</v>
      </c>
      <c r="C67" t="s">
        <v>14</v>
      </c>
      <c r="D67" t="s">
        <v>29</v>
      </c>
      <c r="E67" t="s">
        <v>16</v>
      </c>
      <c r="F67" t="s">
        <v>16</v>
      </c>
      <c r="G67">
        <v>1</v>
      </c>
      <c r="H67" t="s">
        <v>106</v>
      </c>
      <c r="I67" t="s">
        <v>107</v>
      </c>
      <c r="J67" t="s">
        <v>56</v>
      </c>
      <c r="K67" t="s">
        <v>57</v>
      </c>
      <c r="L67">
        <v>1</v>
      </c>
      <c r="M67" s="5">
        <v>573848</v>
      </c>
      <c r="N67" s="5">
        <f>+M67*1.3</f>
        <v>746002.4</v>
      </c>
      <c r="O67" s="2">
        <f>+N67-M67</f>
        <v>172154.40000000002</v>
      </c>
    </row>
    <row r="68" spans="1:15" x14ac:dyDescent="0.2">
      <c r="A68" t="s">
        <v>21</v>
      </c>
      <c r="B68">
        <v>3</v>
      </c>
      <c r="C68" t="s">
        <v>14</v>
      </c>
      <c r="D68" t="s">
        <v>29</v>
      </c>
      <c r="E68" t="s">
        <v>16</v>
      </c>
      <c r="F68" t="s">
        <v>16</v>
      </c>
      <c r="G68">
        <v>1</v>
      </c>
      <c r="H68" t="s">
        <v>106</v>
      </c>
      <c r="I68" t="s">
        <v>107</v>
      </c>
      <c r="J68" t="s">
        <v>56</v>
      </c>
      <c r="K68" t="s">
        <v>57</v>
      </c>
      <c r="L68">
        <v>1</v>
      </c>
      <c r="M68" s="5">
        <v>573848</v>
      </c>
      <c r="N68" s="5">
        <f>+M68*1.3</f>
        <v>746002.4</v>
      </c>
      <c r="O68" s="2">
        <f>+N68-M68</f>
        <v>172154.40000000002</v>
      </c>
    </row>
    <row r="69" spans="1:15" x14ac:dyDescent="0.2">
      <c r="A69" t="s">
        <v>88</v>
      </c>
      <c r="B69">
        <v>1</v>
      </c>
      <c r="C69" t="s">
        <v>14</v>
      </c>
      <c r="D69" t="s">
        <v>89</v>
      </c>
      <c r="E69" t="s">
        <v>16</v>
      </c>
      <c r="F69" t="s">
        <v>16</v>
      </c>
      <c r="G69">
        <v>28</v>
      </c>
      <c r="H69" t="s">
        <v>108</v>
      </c>
      <c r="I69" t="s">
        <v>109</v>
      </c>
      <c r="J69" t="s">
        <v>110</v>
      </c>
      <c r="K69" t="s">
        <v>98</v>
      </c>
      <c r="L69">
        <v>12</v>
      </c>
      <c r="M69" s="5">
        <v>28294</v>
      </c>
      <c r="N69" s="5">
        <f>+M69*1.3</f>
        <v>36782.200000000004</v>
      </c>
      <c r="O69" s="2">
        <f>+N69-M69</f>
        <v>8488.2000000000044</v>
      </c>
    </row>
    <row r="70" spans="1:15" x14ac:dyDescent="0.2">
      <c r="A70" t="s">
        <v>45</v>
      </c>
      <c r="B70">
        <v>1</v>
      </c>
      <c r="C70" t="s">
        <v>14</v>
      </c>
      <c r="D70" t="s">
        <v>46</v>
      </c>
      <c r="E70" t="s">
        <v>16</v>
      </c>
      <c r="F70" t="s">
        <v>16</v>
      </c>
      <c r="G70">
        <v>2</v>
      </c>
      <c r="H70" t="s">
        <v>111</v>
      </c>
      <c r="I70" t="s">
        <v>112</v>
      </c>
      <c r="J70" t="s">
        <v>56</v>
      </c>
      <c r="K70" t="s">
        <v>57</v>
      </c>
      <c r="L70">
        <v>1</v>
      </c>
      <c r="M70" s="5">
        <v>406510</v>
      </c>
      <c r="N70" s="5">
        <f>+M70*1.3</f>
        <v>528463</v>
      </c>
      <c r="O70" s="2">
        <f>+N70-M70</f>
        <v>121953</v>
      </c>
    </row>
    <row r="71" spans="1:15" x14ac:dyDescent="0.2">
      <c r="A71" t="s">
        <v>41</v>
      </c>
      <c r="B71">
        <v>1</v>
      </c>
      <c r="C71" t="s">
        <v>14</v>
      </c>
      <c r="D71" t="s">
        <v>46</v>
      </c>
      <c r="E71" t="s">
        <v>16</v>
      </c>
      <c r="F71" t="s">
        <v>16</v>
      </c>
      <c r="G71">
        <v>2</v>
      </c>
      <c r="H71" t="s">
        <v>111</v>
      </c>
      <c r="I71" t="s">
        <v>112</v>
      </c>
      <c r="J71" t="s">
        <v>56</v>
      </c>
      <c r="K71" t="s">
        <v>57</v>
      </c>
      <c r="L71">
        <v>1</v>
      </c>
      <c r="M71" s="5">
        <v>406510</v>
      </c>
      <c r="N71" s="5">
        <f>+M71*1.3</f>
        <v>528463</v>
      </c>
      <c r="O71" s="2">
        <f>+N71-M71</f>
        <v>121953</v>
      </c>
    </row>
    <row r="72" spans="1:15" x14ac:dyDescent="0.2">
      <c r="A72" t="s">
        <v>28</v>
      </c>
      <c r="B72">
        <v>1</v>
      </c>
      <c r="C72" t="s">
        <v>14</v>
      </c>
      <c r="D72" t="s">
        <v>46</v>
      </c>
      <c r="E72" t="s">
        <v>16</v>
      </c>
      <c r="F72" t="s">
        <v>16</v>
      </c>
      <c r="G72">
        <v>2</v>
      </c>
      <c r="H72" t="s">
        <v>111</v>
      </c>
      <c r="I72" t="s">
        <v>112</v>
      </c>
      <c r="J72" t="s">
        <v>56</v>
      </c>
      <c r="K72" t="s">
        <v>57</v>
      </c>
      <c r="L72">
        <v>1</v>
      </c>
      <c r="M72" s="5">
        <v>406510</v>
      </c>
      <c r="N72" s="5">
        <f>+M72*1.3</f>
        <v>528463</v>
      </c>
      <c r="O72" s="2">
        <f>+N72-M72</f>
        <v>121953</v>
      </c>
    </row>
    <row r="73" spans="1:15" x14ac:dyDescent="0.2">
      <c r="A73" t="s">
        <v>13</v>
      </c>
      <c r="B73">
        <v>3</v>
      </c>
      <c r="C73" t="s">
        <v>14</v>
      </c>
      <c r="D73" t="s">
        <v>85</v>
      </c>
      <c r="E73" t="s">
        <v>16</v>
      </c>
      <c r="F73" t="s">
        <v>16</v>
      </c>
      <c r="G73">
        <v>4</v>
      </c>
      <c r="H73" t="s">
        <v>113</v>
      </c>
      <c r="I73" t="s">
        <v>114</v>
      </c>
      <c r="J73" t="s">
        <v>26</v>
      </c>
      <c r="K73" t="s">
        <v>50</v>
      </c>
      <c r="L73">
        <v>1</v>
      </c>
      <c r="M73" s="5">
        <v>57886</v>
      </c>
      <c r="N73" s="5">
        <f>+M73*1.3</f>
        <v>75251.8</v>
      </c>
      <c r="O73" s="2">
        <f>+N73-M73</f>
        <v>17365.800000000003</v>
      </c>
    </row>
    <row r="74" spans="1:15" x14ac:dyDescent="0.2">
      <c r="A74" t="s">
        <v>21</v>
      </c>
      <c r="B74">
        <v>2</v>
      </c>
      <c r="C74" t="s">
        <v>14</v>
      </c>
      <c r="D74" t="s">
        <v>85</v>
      </c>
      <c r="E74" t="s">
        <v>16</v>
      </c>
      <c r="F74" t="s">
        <v>16</v>
      </c>
      <c r="G74">
        <v>4</v>
      </c>
      <c r="H74" t="s">
        <v>113</v>
      </c>
      <c r="I74" t="s">
        <v>114</v>
      </c>
      <c r="J74" t="s">
        <v>26</v>
      </c>
      <c r="K74" t="s">
        <v>50</v>
      </c>
      <c r="L74">
        <v>1</v>
      </c>
      <c r="M74" s="5">
        <v>57886</v>
      </c>
      <c r="N74" s="5">
        <f>+M74*1.3</f>
        <v>75251.8</v>
      </c>
      <c r="O74" s="2">
        <f>+N74-M74</f>
        <v>17365.800000000003</v>
      </c>
    </row>
    <row r="75" spans="1:15" x14ac:dyDescent="0.2">
      <c r="A75" t="s">
        <v>88</v>
      </c>
      <c r="B75">
        <v>1</v>
      </c>
      <c r="C75" t="s">
        <v>14</v>
      </c>
      <c r="D75" t="s">
        <v>89</v>
      </c>
      <c r="E75" t="s">
        <v>16</v>
      </c>
      <c r="F75" t="s">
        <v>16</v>
      </c>
      <c r="G75">
        <v>9</v>
      </c>
      <c r="H75" t="s">
        <v>115</v>
      </c>
      <c r="I75" t="s">
        <v>116</v>
      </c>
      <c r="J75" t="s">
        <v>26</v>
      </c>
      <c r="K75" t="s">
        <v>27</v>
      </c>
      <c r="L75">
        <v>6</v>
      </c>
      <c r="M75" s="5">
        <v>43982</v>
      </c>
      <c r="N75" s="5">
        <f>+M75*1.3</f>
        <v>57176.6</v>
      </c>
      <c r="O75" s="2">
        <f>+N75-M75</f>
        <v>13194.599999999999</v>
      </c>
    </row>
    <row r="76" spans="1:15" x14ac:dyDescent="0.2">
      <c r="A76" t="s">
        <v>88</v>
      </c>
      <c r="B76">
        <v>1</v>
      </c>
      <c r="C76" t="s">
        <v>14</v>
      </c>
      <c r="D76" t="s">
        <v>89</v>
      </c>
      <c r="E76" t="s">
        <v>16</v>
      </c>
      <c r="F76" t="s">
        <v>16</v>
      </c>
      <c r="G76">
        <v>86</v>
      </c>
      <c r="H76" t="s">
        <v>117</v>
      </c>
      <c r="I76" t="s">
        <v>118</v>
      </c>
      <c r="J76" t="s">
        <v>39</v>
      </c>
      <c r="K76" t="s">
        <v>40</v>
      </c>
      <c r="L76">
        <v>12</v>
      </c>
      <c r="M76" s="5">
        <v>44334</v>
      </c>
      <c r="N76" s="5">
        <f>+M76*1.3</f>
        <v>57634.200000000004</v>
      </c>
      <c r="O76" s="2">
        <f>+N76-M76</f>
        <v>13300.200000000004</v>
      </c>
    </row>
    <row r="77" spans="1:15" x14ac:dyDescent="0.2">
      <c r="A77" t="s">
        <v>88</v>
      </c>
      <c r="B77">
        <v>1</v>
      </c>
      <c r="C77" t="s">
        <v>94</v>
      </c>
      <c r="D77" t="s">
        <v>89</v>
      </c>
      <c r="E77" t="s">
        <v>16</v>
      </c>
      <c r="F77" t="s">
        <v>16</v>
      </c>
      <c r="G77">
        <v>27</v>
      </c>
      <c r="H77" t="s">
        <v>119</v>
      </c>
      <c r="I77" t="s">
        <v>120</v>
      </c>
      <c r="J77" t="s">
        <v>97</v>
      </c>
      <c r="K77" t="s">
        <v>98</v>
      </c>
      <c r="L77">
        <v>12</v>
      </c>
      <c r="M77" s="5">
        <v>27537</v>
      </c>
      <c r="N77" s="5">
        <f>+M77*1.3</f>
        <v>35798.1</v>
      </c>
      <c r="O77" s="2">
        <f>+N77-M77</f>
        <v>8261.0999999999985</v>
      </c>
    </row>
    <row r="78" spans="1:15" x14ac:dyDescent="0.2">
      <c r="A78" t="s">
        <v>13</v>
      </c>
      <c r="B78">
        <v>1</v>
      </c>
      <c r="C78" t="s">
        <v>14</v>
      </c>
      <c r="D78" t="s">
        <v>85</v>
      </c>
      <c r="E78" t="s">
        <v>16</v>
      </c>
      <c r="F78" t="s">
        <v>16</v>
      </c>
      <c r="G78">
        <v>3</v>
      </c>
      <c r="H78" t="s">
        <v>121</v>
      </c>
      <c r="I78" t="s">
        <v>122</v>
      </c>
      <c r="J78" t="s">
        <v>123</v>
      </c>
      <c r="K78" t="s">
        <v>57</v>
      </c>
      <c r="L78">
        <v>1</v>
      </c>
      <c r="M78" s="5">
        <v>555226</v>
      </c>
      <c r="N78" s="5">
        <f>+M78*1.3</f>
        <v>721793.8</v>
      </c>
      <c r="O78" s="2">
        <f>+N78-M78</f>
        <v>166567.80000000005</v>
      </c>
    </row>
    <row r="79" spans="1:15" x14ac:dyDescent="0.2">
      <c r="A79" t="s">
        <v>21</v>
      </c>
      <c r="B79">
        <v>3</v>
      </c>
      <c r="C79" t="s">
        <v>14</v>
      </c>
      <c r="D79" t="s">
        <v>85</v>
      </c>
      <c r="E79" t="s">
        <v>16</v>
      </c>
      <c r="F79" t="s">
        <v>16</v>
      </c>
      <c r="G79">
        <v>3</v>
      </c>
      <c r="H79" t="s">
        <v>121</v>
      </c>
      <c r="I79" t="s">
        <v>122</v>
      </c>
      <c r="J79" t="s">
        <v>123</v>
      </c>
      <c r="K79" t="s">
        <v>57</v>
      </c>
      <c r="L79">
        <v>1</v>
      </c>
      <c r="M79" s="5">
        <v>555226</v>
      </c>
      <c r="N79" s="5">
        <f>+M79*1.3</f>
        <v>721793.8</v>
      </c>
      <c r="O79" s="2">
        <f>+N79-M79</f>
        <v>166567.80000000005</v>
      </c>
    </row>
    <row r="80" spans="1:15" x14ac:dyDescent="0.2">
      <c r="A80" t="s">
        <v>13</v>
      </c>
      <c r="B80">
        <v>3</v>
      </c>
      <c r="C80" t="s">
        <v>22</v>
      </c>
      <c r="D80" t="s">
        <v>23</v>
      </c>
      <c r="E80" t="s">
        <v>16</v>
      </c>
      <c r="F80" t="s">
        <v>16</v>
      </c>
      <c r="G80">
        <v>3</v>
      </c>
      <c r="H80" t="s">
        <v>124</v>
      </c>
      <c r="I80" t="s">
        <v>125</v>
      </c>
      <c r="J80" t="s">
        <v>49</v>
      </c>
      <c r="K80" t="s">
        <v>50</v>
      </c>
      <c r="L80">
        <v>1</v>
      </c>
      <c r="M80" s="5">
        <v>7942</v>
      </c>
      <c r="N80" s="5">
        <f>+M80*1.3</f>
        <v>10324.6</v>
      </c>
      <c r="O80" s="2">
        <f>+N80-M80</f>
        <v>2382.6000000000004</v>
      </c>
    </row>
    <row r="81" spans="1:15" x14ac:dyDescent="0.2">
      <c r="A81" t="s">
        <v>21</v>
      </c>
      <c r="B81">
        <v>2</v>
      </c>
      <c r="C81" t="s">
        <v>22</v>
      </c>
      <c r="D81" t="s">
        <v>23</v>
      </c>
      <c r="E81" t="s">
        <v>16</v>
      </c>
      <c r="F81" t="s">
        <v>16</v>
      </c>
      <c r="G81">
        <v>3</v>
      </c>
      <c r="H81" t="s">
        <v>124</v>
      </c>
      <c r="I81" t="s">
        <v>125</v>
      </c>
      <c r="J81" t="s">
        <v>49</v>
      </c>
      <c r="K81" t="s">
        <v>50</v>
      </c>
      <c r="L81">
        <v>1</v>
      </c>
      <c r="M81" s="5">
        <v>7942</v>
      </c>
      <c r="N81" s="5">
        <f>+M81*1.3</f>
        <v>10324.6</v>
      </c>
      <c r="O81" s="2">
        <f>+N81-M81</f>
        <v>2382.6000000000004</v>
      </c>
    </row>
    <row r="82" spans="1:15" x14ac:dyDescent="0.2">
      <c r="A82" t="s">
        <v>28</v>
      </c>
      <c r="B82">
        <v>1</v>
      </c>
      <c r="C82" t="s">
        <v>22</v>
      </c>
      <c r="D82" t="s">
        <v>23</v>
      </c>
      <c r="E82" t="s">
        <v>16</v>
      </c>
      <c r="F82" t="s">
        <v>16</v>
      </c>
      <c r="G82">
        <v>3</v>
      </c>
      <c r="H82" t="s">
        <v>124</v>
      </c>
      <c r="I82" t="s">
        <v>125</v>
      </c>
      <c r="J82" t="s">
        <v>49</v>
      </c>
      <c r="K82" t="s">
        <v>50</v>
      </c>
      <c r="L82">
        <v>1</v>
      </c>
      <c r="M82" s="5">
        <v>7942</v>
      </c>
      <c r="N82" s="5">
        <f>+M82*1.3</f>
        <v>10324.6</v>
      </c>
      <c r="O82" s="2">
        <f>+N82-M82</f>
        <v>2382.6000000000004</v>
      </c>
    </row>
    <row r="83" spans="1:15" x14ac:dyDescent="0.2">
      <c r="A83" t="s">
        <v>13</v>
      </c>
      <c r="B83">
        <v>1</v>
      </c>
      <c r="C83" t="s">
        <v>126</v>
      </c>
      <c r="D83" t="s">
        <v>127</v>
      </c>
      <c r="E83" t="s">
        <v>16</v>
      </c>
      <c r="F83" t="s">
        <v>16</v>
      </c>
      <c r="G83">
        <v>2</v>
      </c>
      <c r="H83" t="s">
        <v>128</v>
      </c>
      <c r="I83" t="s">
        <v>129</v>
      </c>
      <c r="J83" t="s">
        <v>97</v>
      </c>
      <c r="K83" t="s">
        <v>98</v>
      </c>
      <c r="L83">
        <v>12</v>
      </c>
      <c r="M83" s="5">
        <v>33273</v>
      </c>
      <c r="N83" s="5">
        <f>+M83*1.3</f>
        <v>43254.9</v>
      </c>
      <c r="O83" s="2">
        <f>+N83-M83</f>
        <v>9981.9000000000015</v>
      </c>
    </row>
    <row r="84" spans="1:15" x14ac:dyDescent="0.2">
      <c r="A84" t="s">
        <v>21</v>
      </c>
      <c r="B84">
        <v>1</v>
      </c>
      <c r="C84" t="s">
        <v>126</v>
      </c>
      <c r="D84" t="s">
        <v>127</v>
      </c>
      <c r="E84" t="s">
        <v>16</v>
      </c>
      <c r="F84" t="s">
        <v>16</v>
      </c>
      <c r="G84">
        <v>2</v>
      </c>
      <c r="H84" t="s">
        <v>128</v>
      </c>
      <c r="I84" t="s">
        <v>129</v>
      </c>
      <c r="J84" t="s">
        <v>97</v>
      </c>
      <c r="K84" t="s">
        <v>98</v>
      </c>
      <c r="L84">
        <v>12</v>
      </c>
      <c r="M84" s="5">
        <v>33273</v>
      </c>
      <c r="N84" s="5">
        <f>+M84*1.3</f>
        <v>43254.9</v>
      </c>
      <c r="O84" s="2">
        <f>+N84-M84</f>
        <v>9981.9000000000015</v>
      </c>
    </row>
    <row r="85" spans="1:15" x14ac:dyDescent="0.2">
      <c r="A85" t="s">
        <v>28</v>
      </c>
      <c r="B85">
        <v>3</v>
      </c>
      <c r="C85" t="s">
        <v>126</v>
      </c>
      <c r="D85" t="s">
        <v>127</v>
      </c>
      <c r="E85" t="s">
        <v>16</v>
      </c>
      <c r="F85" t="s">
        <v>16</v>
      </c>
      <c r="G85">
        <v>2</v>
      </c>
      <c r="H85" t="s">
        <v>128</v>
      </c>
      <c r="I85" t="s">
        <v>129</v>
      </c>
      <c r="J85" t="s">
        <v>97</v>
      </c>
      <c r="K85" t="s">
        <v>98</v>
      </c>
      <c r="L85">
        <v>12</v>
      </c>
      <c r="M85" s="5">
        <v>33273</v>
      </c>
      <c r="N85" s="5">
        <f>+M85*1.3</f>
        <v>43254.9</v>
      </c>
      <c r="O85" s="2">
        <f>+N85-M85</f>
        <v>9981.9000000000015</v>
      </c>
    </row>
    <row r="86" spans="1:15" x14ac:dyDescent="0.2">
      <c r="A86" t="s">
        <v>28</v>
      </c>
      <c r="B86">
        <v>1</v>
      </c>
      <c r="C86" t="s">
        <v>126</v>
      </c>
      <c r="D86" t="s">
        <v>130</v>
      </c>
      <c r="E86" t="s">
        <v>16</v>
      </c>
      <c r="F86" t="s">
        <v>16</v>
      </c>
      <c r="G86">
        <v>2</v>
      </c>
      <c r="H86" t="s">
        <v>131</v>
      </c>
      <c r="I86" t="s">
        <v>132</v>
      </c>
      <c r="J86" t="s">
        <v>103</v>
      </c>
      <c r="K86" t="s">
        <v>50</v>
      </c>
      <c r="L86">
        <v>1</v>
      </c>
      <c r="M86" s="5">
        <v>50529</v>
      </c>
      <c r="N86" s="5">
        <f>+M86*1.3</f>
        <v>65687.7</v>
      </c>
      <c r="O86" s="2">
        <f>+N86-M86</f>
        <v>15158.699999999997</v>
      </c>
    </row>
    <row r="87" spans="1:15" x14ac:dyDescent="0.2">
      <c r="A87" t="s">
        <v>13</v>
      </c>
      <c r="B87">
        <v>1</v>
      </c>
      <c r="C87" t="s">
        <v>14</v>
      </c>
      <c r="D87" t="s">
        <v>29</v>
      </c>
      <c r="E87" t="s">
        <v>16</v>
      </c>
      <c r="F87" t="s">
        <v>16</v>
      </c>
      <c r="G87">
        <v>4</v>
      </c>
      <c r="H87" t="s">
        <v>133</v>
      </c>
      <c r="I87" t="s">
        <v>134</v>
      </c>
      <c r="J87" t="s">
        <v>135</v>
      </c>
      <c r="K87" t="s">
        <v>40</v>
      </c>
      <c r="L87">
        <v>12</v>
      </c>
      <c r="M87" s="5">
        <v>39218</v>
      </c>
      <c r="N87" s="5">
        <f>+M87*1.3</f>
        <v>50983.4</v>
      </c>
      <c r="O87" s="2">
        <f>+N87-M87</f>
        <v>11765.400000000001</v>
      </c>
    </row>
    <row r="88" spans="1:15" x14ac:dyDescent="0.2">
      <c r="A88" t="s">
        <v>21</v>
      </c>
      <c r="B88">
        <v>1</v>
      </c>
      <c r="C88" t="s">
        <v>14</v>
      </c>
      <c r="D88" t="s">
        <v>29</v>
      </c>
      <c r="E88" t="s">
        <v>16</v>
      </c>
      <c r="F88" t="s">
        <v>16</v>
      </c>
      <c r="G88">
        <v>4</v>
      </c>
      <c r="H88" t="s">
        <v>133</v>
      </c>
      <c r="I88" t="s">
        <v>134</v>
      </c>
      <c r="J88" t="s">
        <v>135</v>
      </c>
      <c r="K88" t="s">
        <v>40</v>
      </c>
      <c r="L88">
        <v>12</v>
      </c>
      <c r="M88" s="5">
        <v>39218</v>
      </c>
      <c r="N88" s="5">
        <f>+M88*1.3</f>
        <v>50983.4</v>
      </c>
      <c r="O88" s="2">
        <f>+N88-M88</f>
        <v>11765.400000000001</v>
      </c>
    </row>
    <row r="89" spans="1:15" x14ac:dyDescent="0.2">
      <c r="A89" t="s">
        <v>13</v>
      </c>
      <c r="B89">
        <v>1</v>
      </c>
      <c r="C89" t="s">
        <v>14</v>
      </c>
      <c r="D89" t="s">
        <v>85</v>
      </c>
      <c r="E89" t="s">
        <v>16</v>
      </c>
      <c r="F89" t="s">
        <v>16</v>
      </c>
      <c r="G89">
        <v>3</v>
      </c>
      <c r="H89" t="s">
        <v>136</v>
      </c>
      <c r="I89" t="s">
        <v>137</v>
      </c>
      <c r="J89" t="s">
        <v>138</v>
      </c>
      <c r="K89" t="s">
        <v>40</v>
      </c>
      <c r="L89">
        <v>12</v>
      </c>
      <c r="M89" s="5">
        <v>43682</v>
      </c>
      <c r="N89" s="5">
        <f>+M89*1.3</f>
        <v>56786.6</v>
      </c>
      <c r="O89" s="2">
        <f>+N89-M89</f>
        <v>13104.599999999999</v>
      </c>
    </row>
    <row r="90" spans="1:15" x14ac:dyDescent="0.2">
      <c r="A90" t="s">
        <v>21</v>
      </c>
      <c r="B90">
        <v>1</v>
      </c>
      <c r="C90" t="s">
        <v>14</v>
      </c>
      <c r="D90" t="s">
        <v>85</v>
      </c>
      <c r="E90" t="s">
        <v>16</v>
      </c>
      <c r="F90" t="s">
        <v>16</v>
      </c>
      <c r="G90">
        <v>3</v>
      </c>
      <c r="H90" t="s">
        <v>136</v>
      </c>
      <c r="I90" t="s">
        <v>137</v>
      </c>
      <c r="J90" t="s">
        <v>138</v>
      </c>
      <c r="K90" t="s">
        <v>40</v>
      </c>
      <c r="L90">
        <v>12</v>
      </c>
      <c r="M90" s="5">
        <v>43682</v>
      </c>
      <c r="N90" s="5">
        <f>+M90*1.3</f>
        <v>56786.6</v>
      </c>
      <c r="O90" s="2">
        <f>+N90-M90</f>
        <v>13104.599999999999</v>
      </c>
    </row>
    <row r="91" spans="1:15" x14ac:dyDescent="0.2">
      <c r="A91" t="s">
        <v>13</v>
      </c>
      <c r="B91">
        <v>1</v>
      </c>
      <c r="C91" t="s">
        <v>22</v>
      </c>
      <c r="D91" t="s">
        <v>139</v>
      </c>
      <c r="E91" t="s">
        <v>16</v>
      </c>
      <c r="F91" t="s">
        <v>16</v>
      </c>
      <c r="G91">
        <v>1</v>
      </c>
      <c r="H91" t="s">
        <v>140</v>
      </c>
      <c r="I91" t="s">
        <v>141</v>
      </c>
      <c r="J91" t="s">
        <v>142</v>
      </c>
      <c r="K91" t="s">
        <v>143</v>
      </c>
      <c r="L91">
        <v>1</v>
      </c>
      <c r="M91" s="5">
        <v>471514</v>
      </c>
      <c r="N91" s="5">
        <f>+M91*1.3</f>
        <v>612968.20000000007</v>
      </c>
      <c r="O91" s="2">
        <f>+N91-M91</f>
        <v>141454.20000000007</v>
      </c>
    </row>
    <row r="92" spans="1:15" x14ac:dyDescent="0.2">
      <c r="A92" t="s">
        <v>21</v>
      </c>
      <c r="B92">
        <v>3</v>
      </c>
      <c r="C92" t="s">
        <v>22</v>
      </c>
      <c r="D92" t="s">
        <v>139</v>
      </c>
      <c r="E92" t="s">
        <v>16</v>
      </c>
      <c r="F92" t="s">
        <v>16</v>
      </c>
      <c r="G92">
        <v>1</v>
      </c>
      <c r="H92" t="s">
        <v>140</v>
      </c>
      <c r="I92" t="s">
        <v>141</v>
      </c>
      <c r="J92" t="s">
        <v>142</v>
      </c>
      <c r="K92" t="s">
        <v>143</v>
      </c>
      <c r="L92">
        <v>1</v>
      </c>
      <c r="M92" s="5">
        <v>471514</v>
      </c>
      <c r="N92" s="5">
        <f>+M92*1.3</f>
        <v>612968.20000000007</v>
      </c>
      <c r="O92" s="2">
        <f>+N92-M92</f>
        <v>141454.20000000007</v>
      </c>
    </row>
    <row r="93" spans="1:15" x14ac:dyDescent="0.2">
      <c r="A93" t="s">
        <v>88</v>
      </c>
      <c r="B93">
        <v>2</v>
      </c>
      <c r="C93" t="s">
        <v>14</v>
      </c>
      <c r="D93" t="s">
        <v>89</v>
      </c>
      <c r="E93" t="s">
        <v>16</v>
      </c>
      <c r="F93" t="s">
        <v>16</v>
      </c>
      <c r="G93">
        <v>1</v>
      </c>
      <c r="H93" t="s">
        <v>144</v>
      </c>
      <c r="I93" t="s">
        <v>145</v>
      </c>
      <c r="J93" t="s">
        <v>70</v>
      </c>
      <c r="K93" t="s">
        <v>50</v>
      </c>
      <c r="L93">
        <v>1</v>
      </c>
      <c r="M93" s="5">
        <v>38114</v>
      </c>
      <c r="N93" s="5">
        <f>+M93*1.3</f>
        <v>49548.200000000004</v>
      </c>
      <c r="O93" s="2">
        <f>+N93-M93</f>
        <v>11434.200000000004</v>
      </c>
    </row>
    <row r="94" spans="1:15" x14ac:dyDescent="0.2">
      <c r="A94" t="s">
        <v>88</v>
      </c>
      <c r="B94">
        <v>1</v>
      </c>
      <c r="C94" t="s">
        <v>14</v>
      </c>
      <c r="D94" t="s">
        <v>89</v>
      </c>
      <c r="E94" t="s">
        <v>16</v>
      </c>
      <c r="F94" t="s">
        <v>16</v>
      </c>
      <c r="G94">
        <v>11</v>
      </c>
      <c r="H94" t="s">
        <v>146</v>
      </c>
      <c r="I94" t="s">
        <v>147</v>
      </c>
      <c r="J94" t="s">
        <v>26</v>
      </c>
      <c r="K94" t="s">
        <v>27</v>
      </c>
      <c r="L94">
        <v>6</v>
      </c>
      <c r="M94" s="5">
        <v>44902</v>
      </c>
      <c r="N94" s="5">
        <f>+M94*1.3</f>
        <v>58372.6</v>
      </c>
      <c r="O94" s="2">
        <f>+N94-M94</f>
        <v>13470.599999999999</v>
      </c>
    </row>
    <row r="95" spans="1:15" x14ac:dyDescent="0.2">
      <c r="A95" t="s">
        <v>88</v>
      </c>
      <c r="B95">
        <v>3</v>
      </c>
      <c r="C95" t="s">
        <v>14</v>
      </c>
      <c r="D95" t="s">
        <v>89</v>
      </c>
      <c r="E95" t="s">
        <v>16</v>
      </c>
      <c r="F95" t="s">
        <v>16</v>
      </c>
      <c r="G95">
        <v>4</v>
      </c>
      <c r="H95" t="s">
        <v>148</v>
      </c>
      <c r="I95" t="s">
        <v>149</v>
      </c>
      <c r="J95" t="s">
        <v>123</v>
      </c>
      <c r="K95" t="s">
        <v>57</v>
      </c>
      <c r="L95">
        <v>1</v>
      </c>
      <c r="M95" s="5">
        <v>410984</v>
      </c>
      <c r="N95" s="5">
        <f>+M95*1.3</f>
        <v>534279.20000000007</v>
      </c>
      <c r="O95" s="2">
        <f>+N95-M95</f>
        <v>123295.20000000007</v>
      </c>
    </row>
    <row r="96" spans="1:15" x14ac:dyDescent="0.2">
      <c r="A96" t="s">
        <v>88</v>
      </c>
      <c r="B96">
        <v>1</v>
      </c>
      <c r="C96" t="s">
        <v>14</v>
      </c>
      <c r="D96" t="s">
        <v>89</v>
      </c>
      <c r="E96" t="s">
        <v>16</v>
      </c>
      <c r="F96" t="s">
        <v>16</v>
      </c>
      <c r="G96">
        <v>57</v>
      </c>
      <c r="H96" t="s">
        <v>150</v>
      </c>
      <c r="I96" t="s">
        <v>151</v>
      </c>
      <c r="J96" t="s">
        <v>152</v>
      </c>
      <c r="K96" t="s">
        <v>40</v>
      </c>
      <c r="L96">
        <v>12</v>
      </c>
      <c r="M96" s="5">
        <v>28574</v>
      </c>
      <c r="N96" s="5">
        <f>+M96*1.3</f>
        <v>37146.200000000004</v>
      </c>
      <c r="O96" s="2">
        <f>+N96-M96</f>
        <v>8572.2000000000044</v>
      </c>
    </row>
    <row r="97" spans="1:15" x14ac:dyDescent="0.2">
      <c r="A97" t="s">
        <v>35</v>
      </c>
      <c r="B97">
        <v>1</v>
      </c>
      <c r="C97" t="s">
        <v>14</v>
      </c>
      <c r="D97" t="s">
        <v>36</v>
      </c>
      <c r="E97" t="s">
        <v>16</v>
      </c>
      <c r="F97" t="s">
        <v>16</v>
      </c>
      <c r="G97">
        <v>7</v>
      </c>
      <c r="H97" t="s">
        <v>153</v>
      </c>
      <c r="I97" t="s">
        <v>154</v>
      </c>
      <c r="J97" t="s">
        <v>70</v>
      </c>
      <c r="K97" t="s">
        <v>50</v>
      </c>
      <c r="L97">
        <v>1</v>
      </c>
      <c r="M97" s="5">
        <v>89377</v>
      </c>
      <c r="N97" s="5">
        <f>+M97*1.3</f>
        <v>116190.1</v>
      </c>
      <c r="O97" s="2">
        <f>+N97-M97</f>
        <v>26813.100000000006</v>
      </c>
    </row>
    <row r="98" spans="1:15" x14ac:dyDescent="0.2">
      <c r="A98" t="s">
        <v>41</v>
      </c>
      <c r="B98">
        <v>1</v>
      </c>
      <c r="C98" t="s">
        <v>14</v>
      </c>
      <c r="D98" t="s">
        <v>36</v>
      </c>
      <c r="E98" t="s">
        <v>16</v>
      </c>
      <c r="F98" t="s">
        <v>16</v>
      </c>
      <c r="G98">
        <v>7</v>
      </c>
      <c r="H98" t="s">
        <v>153</v>
      </c>
      <c r="I98" t="s">
        <v>154</v>
      </c>
      <c r="J98" t="s">
        <v>70</v>
      </c>
      <c r="K98" t="s">
        <v>50</v>
      </c>
      <c r="L98">
        <v>1</v>
      </c>
      <c r="M98" s="5">
        <v>89377</v>
      </c>
      <c r="N98" s="5">
        <f>+M98*1.3</f>
        <v>116190.1</v>
      </c>
      <c r="O98" s="2">
        <f>+N98-M98</f>
        <v>26813.100000000006</v>
      </c>
    </row>
    <row r="99" spans="1:15" x14ac:dyDescent="0.2">
      <c r="A99" t="s">
        <v>21</v>
      </c>
      <c r="B99">
        <v>2</v>
      </c>
      <c r="C99" t="s">
        <v>14</v>
      </c>
      <c r="D99" t="s">
        <v>36</v>
      </c>
      <c r="E99" t="s">
        <v>16</v>
      </c>
      <c r="F99" t="s">
        <v>16</v>
      </c>
      <c r="G99">
        <v>7</v>
      </c>
      <c r="H99" t="s">
        <v>153</v>
      </c>
      <c r="I99" t="s">
        <v>154</v>
      </c>
      <c r="J99" t="s">
        <v>70</v>
      </c>
      <c r="K99" t="s">
        <v>50</v>
      </c>
      <c r="L99">
        <v>1</v>
      </c>
      <c r="M99" s="5">
        <v>89377</v>
      </c>
      <c r="N99" s="5">
        <f>+M99*1.3</f>
        <v>116190.1</v>
      </c>
      <c r="O99" s="2">
        <f>+N99-M99</f>
        <v>26813.100000000006</v>
      </c>
    </row>
    <row r="100" spans="1:15" x14ac:dyDescent="0.2">
      <c r="A100" t="s">
        <v>28</v>
      </c>
      <c r="B100">
        <v>1</v>
      </c>
      <c r="C100" t="s">
        <v>14</v>
      </c>
      <c r="D100" t="s">
        <v>36</v>
      </c>
      <c r="E100" t="s">
        <v>16</v>
      </c>
      <c r="F100" t="s">
        <v>16</v>
      </c>
      <c r="G100">
        <v>7</v>
      </c>
      <c r="H100" t="s">
        <v>153</v>
      </c>
      <c r="I100" t="s">
        <v>154</v>
      </c>
      <c r="J100" t="s">
        <v>70</v>
      </c>
      <c r="K100" t="s">
        <v>50</v>
      </c>
      <c r="L100">
        <v>1</v>
      </c>
      <c r="M100" s="5">
        <v>89377</v>
      </c>
      <c r="N100" s="5">
        <f>+M100*1.3</f>
        <v>116190.1</v>
      </c>
      <c r="O100" s="2">
        <f>+N100-M100</f>
        <v>26813.100000000006</v>
      </c>
    </row>
    <row r="101" spans="1:15" x14ac:dyDescent="0.2">
      <c r="A101" t="s">
        <v>88</v>
      </c>
      <c r="B101">
        <v>1</v>
      </c>
      <c r="C101" t="s">
        <v>94</v>
      </c>
      <c r="D101" t="s">
        <v>89</v>
      </c>
      <c r="E101" t="s">
        <v>16</v>
      </c>
      <c r="F101" t="s">
        <v>16</v>
      </c>
      <c r="G101">
        <v>20</v>
      </c>
      <c r="H101" t="s">
        <v>155</v>
      </c>
      <c r="I101" t="s">
        <v>156</v>
      </c>
      <c r="J101" t="s">
        <v>66</v>
      </c>
      <c r="K101" t="s">
        <v>27</v>
      </c>
      <c r="L101">
        <v>6</v>
      </c>
      <c r="M101" s="5">
        <v>56042</v>
      </c>
      <c r="N101" s="5">
        <f>+M101*1.3</f>
        <v>72854.600000000006</v>
      </c>
      <c r="O101" s="2">
        <f>+N101-M101</f>
        <v>16812.600000000006</v>
      </c>
    </row>
    <row r="102" spans="1:15" x14ac:dyDescent="0.2">
      <c r="A102" t="s">
        <v>88</v>
      </c>
      <c r="B102">
        <v>3</v>
      </c>
      <c r="C102" t="s">
        <v>14</v>
      </c>
      <c r="D102" t="s">
        <v>89</v>
      </c>
      <c r="E102" t="s">
        <v>16</v>
      </c>
      <c r="F102" t="s">
        <v>16</v>
      </c>
      <c r="G102">
        <v>5</v>
      </c>
      <c r="H102" t="s">
        <v>157</v>
      </c>
      <c r="I102" t="s">
        <v>158</v>
      </c>
      <c r="J102" t="s">
        <v>123</v>
      </c>
      <c r="K102" t="s">
        <v>57</v>
      </c>
      <c r="L102">
        <v>1</v>
      </c>
      <c r="M102" s="5">
        <v>424627</v>
      </c>
      <c r="N102" s="5">
        <f>+M102*1.3</f>
        <v>552015.1</v>
      </c>
      <c r="O102" s="2">
        <f>+N102-M102</f>
        <v>127388.09999999998</v>
      </c>
    </row>
    <row r="103" spans="1:15" x14ac:dyDescent="0.2">
      <c r="A103" t="s">
        <v>13</v>
      </c>
      <c r="B103">
        <v>3</v>
      </c>
      <c r="C103" t="s">
        <v>14</v>
      </c>
      <c r="D103" t="s">
        <v>85</v>
      </c>
      <c r="E103" t="s">
        <v>16</v>
      </c>
      <c r="F103" t="s">
        <v>16</v>
      </c>
      <c r="G103">
        <v>1</v>
      </c>
      <c r="H103" t="s">
        <v>159</v>
      </c>
      <c r="I103" t="s">
        <v>160</v>
      </c>
      <c r="J103" t="s">
        <v>70</v>
      </c>
      <c r="K103" t="s">
        <v>50</v>
      </c>
      <c r="L103">
        <v>1</v>
      </c>
      <c r="M103" s="5">
        <v>52957</v>
      </c>
      <c r="N103" s="5">
        <f>+M103*1.3</f>
        <v>68844.100000000006</v>
      </c>
      <c r="O103" s="2">
        <f>+N103-M103</f>
        <v>15887.100000000006</v>
      </c>
    </row>
    <row r="104" spans="1:15" x14ac:dyDescent="0.2">
      <c r="A104" t="s">
        <v>21</v>
      </c>
      <c r="B104">
        <v>2</v>
      </c>
      <c r="C104" t="s">
        <v>14</v>
      </c>
      <c r="D104" t="s">
        <v>85</v>
      </c>
      <c r="E104" t="s">
        <v>16</v>
      </c>
      <c r="F104" t="s">
        <v>16</v>
      </c>
      <c r="G104">
        <v>1</v>
      </c>
      <c r="H104" t="s">
        <v>159</v>
      </c>
      <c r="I104" t="s">
        <v>160</v>
      </c>
      <c r="J104" t="s">
        <v>70</v>
      </c>
      <c r="K104" t="s">
        <v>50</v>
      </c>
      <c r="L104">
        <v>1</v>
      </c>
      <c r="M104" s="5">
        <v>52957</v>
      </c>
      <c r="N104" s="5">
        <f>+M104*1.3</f>
        <v>68844.100000000006</v>
      </c>
      <c r="O104" s="2">
        <f>+N104-M104</f>
        <v>15887.100000000006</v>
      </c>
    </row>
    <row r="105" spans="1:15" x14ac:dyDescent="0.2">
      <c r="A105" t="s">
        <v>88</v>
      </c>
      <c r="B105">
        <v>1</v>
      </c>
      <c r="C105" t="s">
        <v>161</v>
      </c>
      <c r="D105" t="s">
        <v>89</v>
      </c>
      <c r="E105" t="s">
        <v>16</v>
      </c>
      <c r="F105" t="s">
        <v>16</v>
      </c>
      <c r="G105">
        <v>38</v>
      </c>
      <c r="H105" t="s">
        <v>162</v>
      </c>
      <c r="I105" t="s">
        <v>163</v>
      </c>
      <c r="J105" t="s">
        <v>164</v>
      </c>
      <c r="K105" t="s">
        <v>40</v>
      </c>
      <c r="L105">
        <v>12</v>
      </c>
      <c r="M105" s="5">
        <v>24038</v>
      </c>
      <c r="N105" s="5">
        <f>+M105*1.3</f>
        <v>31249.4</v>
      </c>
      <c r="O105" s="2">
        <f>+N105-M105</f>
        <v>7211.4000000000015</v>
      </c>
    </row>
    <row r="106" spans="1:15" x14ac:dyDescent="0.2">
      <c r="A106" t="s">
        <v>88</v>
      </c>
      <c r="B106">
        <v>3</v>
      </c>
      <c r="C106" t="s">
        <v>14</v>
      </c>
      <c r="D106" t="s">
        <v>89</v>
      </c>
      <c r="E106" t="s">
        <v>16</v>
      </c>
      <c r="F106" t="s">
        <v>16</v>
      </c>
      <c r="G106">
        <v>15</v>
      </c>
      <c r="H106" t="s">
        <v>165</v>
      </c>
      <c r="I106" t="s">
        <v>166</v>
      </c>
      <c r="J106" t="s">
        <v>123</v>
      </c>
      <c r="K106" t="s">
        <v>57</v>
      </c>
      <c r="L106">
        <v>1</v>
      </c>
      <c r="M106" s="5">
        <v>518492</v>
      </c>
      <c r="N106" s="5">
        <f>+M106*1.3</f>
        <v>674039.6</v>
      </c>
      <c r="O106" s="2">
        <f>+N106-M106</f>
        <v>155547.59999999998</v>
      </c>
    </row>
    <row r="107" spans="1:15" x14ac:dyDescent="0.2">
      <c r="A107" t="s">
        <v>88</v>
      </c>
      <c r="B107">
        <v>2</v>
      </c>
      <c r="C107" t="s">
        <v>14</v>
      </c>
      <c r="D107" t="s">
        <v>89</v>
      </c>
      <c r="E107" t="s">
        <v>16</v>
      </c>
      <c r="F107" t="s">
        <v>16</v>
      </c>
      <c r="G107">
        <v>5</v>
      </c>
      <c r="H107" t="s">
        <v>167</v>
      </c>
      <c r="I107" t="s">
        <v>168</v>
      </c>
      <c r="J107" t="s">
        <v>70</v>
      </c>
      <c r="K107" t="s">
        <v>50</v>
      </c>
      <c r="L107">
        <v>1</v>
      </c>
      <c r="M107" s="5">
        <v>43193</v>
      </c>
      <c r="N107" s="5">
        <f>+M107*1.3</f>
        <v>56150.9</v>
      </c>
      <c r="O107" s="2">
        <f>+N107-M107</f>
        <v>12957.900000000001</v>
      </c>
    </row>
    <row r="108" spans="1:15" x14ac:dyDescent="0.2">
      <c r="A108" t="s">
        <v>13</v>
      </c>
      <c r="B108">
        <v>3</v>
      </c>
      <c r="C108" t="s">
        <v>14</v>
      </c>
      <c r="D108" t="s">
        <v>29</v>
      </c>
      <c r="E108" t="s">
        <v>16</v>
      </c>
      <c r="F108" t="s">
        <v>16</v>
      </c>
      <c r="G108">
        <v>1</v>
      </c>
      <c r="H108" t="s">
        <v>169</v>
      </c>
      <c r="I108" t="s">
        <v>170</v>
      </c>
      <c r="J108" t="s">
        <v>70</v>
      </c>
      <c r="K108" t="s">
        <v>50</v>
      </c>
      <c r="L108">
        <v>1</v>
      </c>
      <c r="M108" s="5">
        <v>55033</v>
      </c>
      <c r="N108" s="5">
        <f>+M108*1.3</f>
        <v>71542.900000000009</v>
      </c>
      <c r="O108" s="2">
        <f>+N108-M108</f>
        <v>16509.900000000009</v>
      </c>
    </row>
    <row r="109" spans="1:15" x14ac:dyDescent="0.2">
      <c r="A109" t="s">
        <v>21</v>
      </c>
      <c r="B109">
        <v>2</v>
      </c>
      <c r="C109" t="s">
        <v>14</v>
      </c>
      <c r="D109" t="s">
        <v>29</v>
      </c>
      <c r="E109" t="s">
        <v>16</v>
      </c>
      <c r="F109" t="s">
        <v>16</v>
      </c>
      <c r="G109">
        <v>1</v>
      </c>
      <c r="H109" t="s">
        <v>169</v>
      </c>
      <c r="I109" t="s">
        <v>170</v>
      </c>
      <c r="J109" t="s">
        <v>70</v>
      </c>
      <c r="K109" t="s">
        <v>50</v>
      </c>
      <c r="L109">
        <v>1</v>
      </c>
      <c r="M109" s="5">
        <v>55033</v>
      </c>
      <c r="N109" s="5">
        <f>+M109*1.3</f>
        <v>71542.900000000009</v>
      </c>
      <c r="O109" s="2">
        <f>+N109-M109</f>
        <v>16509.900000000009</v>
      </c>
    </row>
    <row r="110" spans="1:15" x14ac:dyDescent="0.2">
      <c r="A110" t="s">
        <v>88</v>
      </c>
      <c r="B110">
        <v>3</v>
      </c>
      <c r="C110" t="s">
        <v>14</v>
      </c>
      <c r="D110" t="s">
        <v>89</v>
      </c>
      <c r="E110" t="s">
        <v>16</v>
      </c>
      <c r="F110" t="s">
        <v>16</v>
      </c>
      <c r="G110">
        <v>14</v>
      </c>
      <c r="H110" t="s">
        <v>171</v>
      </c>
      <c r="I110" t="s">
        <v>172</v>
      </c>
      <c r="J110" t="s">
        <v>123</v>
      </c>
      <c r="K110" t="s">
        <v>57</v>
      </c>
      <c r="L110">
        <v>1</v>
      </c>
      <c r="M110" s="5">
        <v>508583</v>
      </c>
      <c r="N110" s="5">
        <f>+M110*1.3</f>
        <v>661157.9</v>
      </c>
      <c r="O110" s="2">
        <f>+N110-M110</f>
        <v>152574.90000000002</v>
      </c>
    </row>
    <row r="111" spans="1:15" x14ac:dyDescent="0.2">
      <c r="A111" t="s">
        <v>88</v>
      </c>
      <c r="B111">
        <v>1</v>
      </c>
      <c r="C111" t="s">
        <v>161</v>
      </c>
      <c r="D111" t="s">
        <v>89</v>
      </c>
      <c r="E111" t="s">
        <v>16</v>
      </c>
      <c r="F111" t="s">
        <v>16</v>
      </c>
      <c r="G111">
        <v>19</v>
      </c>
      <c r="H111" t="s">
        <v>173</v>
      </c>
      <c r="I111" t="s">
        <v>174</v>
      </c>
      <c r="J111" t="s">
        <v>175</v>
      </c>
      <c r="K111" t="s">
        <v>98</v>
      </c>
      <c r="L111">
        <v>12</v>
      </c>
      <c r="M111" s="5">
        <v>23887</v>
      </c>
      <c r="N111" s="5">
        <f>+M111*1.3</f>
        <v>31053.100000000002</v>
      </c>
      <c r="O111" s="2">
        <f>+N111-M111</f>
        <v>7166.1000000000022</v>
      </c>
    </row>
    <row r="112" spans="1:15" x14ac:dyDescent="0.2">
      <c r="A112" t="s">
        <v>35</v>
      </c>
      <c r="B112">
        <v>1</v>
      </c>
      <c r="C112" t="s">
        <v>14</v>
      </c>
      <c r="D112" t="s">
        <v>36</v>
      </c>
      <c r="E112" t="s">
        <v>16</v>
      </c>
      <c r="F112" t="s">
        <v>16</v>
      </c>
      <c r="G112">
        <v>4</v>
      </c>
      <c r="H112" t="s">
        <v>176</v>
      </c>
      <c r="I112" t="s">
        <v>177</v>
      </c>
      <c r="J112" t="s">
        <v>56</v>
      </c>
      <c r="K112" t="s">
        <v>57</v>
      </c>
      <c r="L112">
        <v>1</v>
      </c>
      <c r="M112" s="5">
        <v>617349</v>
      </c>
      <c r="N112" s="5">
        <f>+M112*1.3</f>
        <v>802553.70000000007</v>
      </c>
      <c r="O112" s="2">
        <f>+N112-M112</f>
        <v>185204.70000000007</v>
      </c>
    </row>
    <row r="113" spans="1:15" x14ac:dyDescent="0.2">
      <c r="A113" t="s">
        <v>41</v>
      </c>
      <c r="B113">
        <v>1</v>
      </c>
      <c r="C113" t="s">
        <v>14</v>
      </c>
      <c r="D113" t="s">
        <v>36</v>
      </c>
      <c r="E113" t="s">
        <v>16</v>
      </c>
      <c r="F113" t="s">
        <v>16</v>
      </c>
      <c r="G113">
        <v>4</v>
      </c>
      <c r="H113" t="s">
        <v>176</v>
      </c>
      <c r="I113" t="s">
        <v>177</v>
      </c>
      <c r="J113" t="s">
        <v>56</v>
      </c>
      <c r="K113" t="s">
        <v>57</v>
      </c>
      <c r="L113">
        <v>1</v>
      </c>
      <c r="M113" s="5">
        <v>617349</v>
      </c>
      <c r="N113" s="5">
        <f>+M113*1.3</f>
        <v>802553.70000000007</v>
      </c>
      <c r="O113" s="2">
        <f>+N113-M113</f>
        <v>185204.70000000007</v>
      </c>
    </row>
    <row r="114" spans="1:15" x14ac:dyDescent="0.2">
      <c r="A114" t="s">
        <v>21</v>
      </c>
      <c r="B114">
        <v>3</v>
      </c>
      <c r="C114" t="s">
        <v>14</v>
      </c>
      <c r="D114" t="s">
        <v>36</v>
      </c>
      <c r="E114" t="s">
        <v>16</v>
      </c>
      <c r="F114" t="s">
        <v>16</v>
      </c>
      <c r="G114">
        <v>4</v>
      </c>
      <c r="H114" t="s">
        <v>176</v>
      </c>
      <c r="I114" t="s">
        <v>177</v>
      </c>
      <c r="J114" t="s">
        <v>56</v>
      </c>
      <c r="K114" t="s">
        <v>57</v>
      </c>
      <c r="L114">
        <v>1</v>
      </c>
      <c r="M114" s="5">
        <v>617349</v>
      </c>
      <c r="N114" s="5">
        <f>+M114*1.3</f>
        <v>802553.70000000007</v>
      </c>
      <c r="O114" s="2">
        <f>+N114-M114</f>
        <v>185204.70000000007</v>
      </c>
    </row>
    <row r="115" spans="1:15" x14ac:dyDescent="0.2">
      <c r="A115" t="s">
        <v>28</v>
      </c>
      <c r="B115">
        <v>1</v>
      </c>
      <c r="C115" t="s">
        <v>14</v>
      </c>
      <c r="D115" t="s">
        <v>36</v>
      </c>
      <c r="E115" t="s">
        <v>16</v>
      </c>
      <c r="F115" t="s">
        <v>16</v>
      </c>
      <c r="G115">
        <v>4</v>
      </c>
      <c r="H115" t="s">
        <v>176</v>
      </c>
      <c r="I115" t="s">
        <v>177</v>
      </c>
      <c r="J115" t="s">
        <v>56</v>
      </c>
      <c r="K115" t="s">
        <v>57</v>
      </c>
      <c r="L115">
        <v>1</v>
      </c>
      <c r="M115" s="5">
        <v>617349</v>
      </c>
      <c r="N115" s="5">
        <f>+M115*1.3</f>
        <v>802553.70000000007</v>
      </c>
      <c r="O115" s="2">
        <f>+N115-M115</f>
        <v>185204.70000000007</v>
      </c>
    </row>
    <row r="116" spans="1:15" x14ac:dyDescent="0.2">
      <c r="A116" t="s">
        <v>28</v>
      </c>
      <c r="B116">
        <v>3</v>
      </c>
      <c r="C116" t="s">
        <v>126</v>
      </c>
      <c r="D116" t="s">
        <v>130</v>
      </c>
      <c r="E116" t="s">
        <v>16</v>
      </c>
      <c r="F116" t="s">
        <v>16</v>
      </c>
      <c r="G116">
        <v>4</v>
      </c>
      <c r="H116" t="s">
        <v>178</v>
      </c>
      <c r="I116" t="s">
        <v>179</v>
      </c>
      <c r="J116" t="s">
        <v>180</v>
      </c>
      <c r="K116" t="s">
        <v>181</v>
      </c>
      <c r="L116">
        <v>12</v>
      </c>
      <c r="M116" s="5">
        <v>11956</v>
      </c>
      <c r="N116" s="5">
        <f>+M116*1.3</f>
        <v>15542.800000000001</v>
      </c>
      <c r="O116" s="2">
        <f>+N116-M116</f>
        <v>3586.8000000000011</v>
      </c>
    </row>
    <row r="117" spans="1:15" x14ac:dyDescent="0.2">
      <c r="A117" t="s">
        <v>88</v>
      </c>
      <c r="B117">
        <v>2</v>
      </c>
      <c r="C117" t="s">
        <v>14</v>
      </c>
      <c r="D117" t="s">
        <v>89</v>
      </c>
      <c r="E117" t="s">
        <v>16</v>
      </c>
      <c r="F117" t="s">
        <v>16</v>
      </c>
      <c r="G117">
        <v>3</v>
      </c>
      <c r="H117" t="s">
        <v>182</v>
      </c>
      <c r="I117" t="s">
        <v>183</v>
      </c>
      <c r="J117" t="s">
        <v>103</v>
      </c>
      <c r="K117" t="s">
        <v>50</v>
      </c>
      <c r="L117">
        <v>1</v>
      </c>
      <c r="M117" s="5">
        <v>40457</v>
      </c>
      <c r="N117" s="5">
        <f>+M117*1.3</f>
        <v>52594.1</v>
      </c>
      <c r="O117" s="2">
        <f>+N117-M117</f>
        <v>12137.099999999999</v>
      </c>
    </row>
    <row r="118" spans="1:15" x14ac:dyDescent="0.2">
      <c r="A118" t="s">
        <v>41</v>
      </c>
      <c r="B118">
        <v>1</v>
      </c>
      <c r="C118" t="s">
        <v>14</v>
      </c>
      <c r="D118" t="s">
        <v>67</v>
      </c>
      <c r="E118" t="s">
        <v>16</v>
      </c>
      <c r="F118" t="s">
        <v>16</v>
      </c>
      <c r="G118">
        <v>1</v>
      </c>
      <c r="H118" t="s">
        <v>184</v>
      </c>
      <c r="I118" t="s">
        <v>185</v>
      </c>
      <c r="J118" t="s">
        <v>123</v>
      </c>
      <c r="K118" t="s">
        <v>57</v>
      </c>
      <c r="L118">
        <v>1</v>
      </c>
      <c r="M118" s="5">
        <v>395734</v>
      </c>
      <c r="N118" s="5">
        <f>+M118*1.3</f>
        <v>514454.2</v>
      </c>
      <c r="O118" s="2">
        <f>+N118-M118</f>
        <v>118720.20000000001</v>
      </c>
    </row>
    <row r="119" spans="1:15" x14ac:dyDescent="0.2">
      <c r="A119" t="s">
        <v>28</v>
      </c>
      <c r="B119">
        <v>1</v>
      </c>
      <c r="C119" t="s">
        <v>14</v>
      </c>
      <c r="D119" t="s">
        <v>67</v>
      </c>
      <c r="E119" t="s">
        <v>16</v>
      </c>
      <c r="F119" t="s">
        <v>16</v>
      </c>
      <c r="G119">
        <v>1</v>
      </c>
      <c r="H119" t="s">
        <v>184</v>
      </c>
      <c r="I119" t="s">
        <v>185</v>
      </c>
      <c r="J119" t="s">
        <v>123</v>
      </c>
      <c r="K119" t="s">
        <v>57</v>
      </c>
      <c r="L119">
        <v>1</v>
      </c>
      <c r="M119" s="5">
        <v>395734</v>
      </c>
      <c r="N119" s="5">
        <f>+M119*1.3</f>
        <v>514454.2</v>
      </c>
      <c r="O119" s="2">
        <f>+N119-M119</f>
        <v>118720.20000000001</v>
      </c>
    </row>
    <row r="120" spans="1:15" x14ac:dyDescent="0.2">
      <c r="A120" t="s">
        <v>13</v>
      </c>
      <c r="B120">
        <v>3</v>
      </c>
      <c r="C120" t="s">
        <v>22</v>
      </c>
      <c r="D120" t="s">
        <v>139</v>
      </c>
      <c r="E120" t="s">
        <v>16</v>
      </c>
      <c r="F120" t="s">
        <v>16</v>
      </c>
      <c r="G120">
        <v>1</v>
      </c>
      <c r="H120" t="s">
        <v>186</v>
      </c>
      <c r="I120" t="s">
        <v>187</v>
      </c>
      <c r="J120" t="s">
        <v>188</v>
      </c>
      <c r="K120" t="s">
        <v>50</v>
      </c>
      <c r="L120">
        <v>1</v>
      </c>
      <c r="M120" s="5">
        <v>19294</v>
      </c>
      <c r="N120" s="5">
        <f>+M120*1.3</f>
        <v>25082.2</v>
      </c>
      <c r="O120" s="2">
        <f>+N120-M120</f>
        <v>5788.2000000000007</v>
      </c>
    </row>
    <row r="121" spans="1:15" x14ac:dyDescent="0.2">
      <c r="A121" t="s">
        <v>21</v>
      </c>
      <c r="B121">
        <v>2</v>
      </c>
      <c r="C121" t="s">
        <v>22</v>
      </c>
      <c r="D121" t="s">
        <v>139</v>
      </c>
      <c r="E121" t="s">
        <v>16</v>
      </c>
      <c r="F121" t="s">
        <v>16</v>
      </c>
      <c r="G121">
        <v>1</v>
      </c>
      <c r="H121" t="s">
        <v>186</v>
      </c>
      <c r="I121" t="s">
        <v>187</v>
      </c>
      <c r="J121" t="s">
        <v>188</v>
      </c>
      <c r="K121" t="s">
        <v>50</v>
      </c>
      <c r="L121">
        <v>1</v>
      </c>
      <c r="M121" s="5">
        <v>19294</v>
      </c>
      <c r="N121" s="5">
        <f>+M121*1.3</f>
        <v>25082.2</v>
      </c>
      <c r="O121" s="2">
        <f>+N121-M121</f>
        <v>5788.2000000000007</v>
      </c>
    </row>
    <row r="122" spans="1:15" x14ac:dyDescent="0.2">
      <c r="A122" t="s">
        <v>13</v>
      </c>
      <c r="B122">
        <v>1</v>
      </c>
      <c r="C122" t="s">
        <v>22</v>
      </c>
      <c r="D122" t="s">
        <v>139</v>
      </c>
      <c r="E122" t="s">
        <v>16</v>
      </c>
      <c r="F122" t="s">
        <v>16</v>
      </c>
      <c r="G122">
        <v>1</v>
      </c>
      <c r="H122" t="s">
        <v>189</v>
      </c>
      <c r="I122" t="s">
        <v>190</v>
      </c>
      <c r="J122" t="s">
        <v>191</v>
      </c>
      <c r="K122" t="s">
        <v>57</v>
      </c>
      <c r="L122">
        <v>1</v>
      </c>
      <c r="M122" s="5">
        <v>194372</v>
      </c>
      <c r="N122" s="5">
        <f>+M122*1.3</f>
        <v>252683.6</v>
      </c>
      <c r="O122" s="2">
        <f>+N122-M122</f>
        <v>58311.600000000006</v>
      </c>
    </row>
    <row r="123" spans="1:15" x14ac:dyDescent="0.2">
      <c r="A123" t="s">
        <v>21</v>
      </c>
      <c r="B123">
        <v>3</v>
      </c>
      <c r="C123" t="s">
        <v>22</v>
      </c>
      <c r="D123" t="s">
        <v>139</v>
      </c>
      <c r="E123" t="s">
        <v>16</v>
      </c>
      <c r="F123" t="s">
        <v>16</v>
      </c>
      <c r="G123">
        <v>1</v>
      </c>
      <c r="H123" t="s">
        <v>189</v>
      </c>
      <c r="I123" t="s">
        <v>190</v>
      </c>
      <c r="J123" t="s">
        <v>191</v>
      </c>
      <c r="K123" t="s">
        <v>57</v>
      </c>
      <c r="L123">
        <v>1</v>
      </c>
      <c r="M123" s="5">
        <v>194372</v>
      </c>
      <c r="N123" s="5">
        <f>+M123*1.3</f>
        <v>252683.6</v>
      </c>
      <c r="O123" s="2">
        <f>+N123-M123</f>
        <v>58311.600000000006</v>
      </c>
    </row>
    <row r="124" spans="1:15" x14ac:dyDescent="0.2">
      <c r="A124" t="s">
        <v>88</v>
      </c>
      <c r="B124">
        <v>2</v>
      </c>
      <c r="C124" t="s">
        <v>14</v>
      </c>
      <c r="D124" t="s">
        <v>89</v>
      </c>
      <c r="E124" t="s">
        <v>16</v>
      </c>
      <c r="F124" t="s">
        <v>16</v>
      </c>
      <c r="G124">
        <v>6</v>
      </c>
      <c r="H124" t="s">
        <v>192</v>
      </c>
      <c r="I124" t="s">
        <v>193</v>
      </c>
      <c r="J124" t="s">
        <v>49</v>
      </c>
      <c r="K124" t="s">
        <v>50</v>
      </c>
      <c r="L124">
        <v>1</v>
      </c>
      <c r="M124" s="5">
        <v>43531</v>
      </c>
      <c r="N124" s="5">
        <f>+M124*1.3</f>
        <v>56590.3</v>
      </c>
      <c r="O124" s="2">
        <f>+N124-M124</f>
        <v>13059.300000000003</v>
      </c>
    </row>
    <row r="125" spans="1:15" x14ac:dyDescent="0.2">
      <c r="A125" t="s">
        <v>88</v>
      </c>
      <c r="B125">
        <v>1</v>
      </c>
      <c r="C125" t="s">
        <v>94</v>
      </c>
      <c r="D125" t="s">
        <v>89</v>
      </c>
      <c r="E125" t="s">
        <v>16</v>
      </c>
      <c r="F125" t="s">
        <v>16</v>
      </c>
      <c r="G125">
        <v>19</v>
      </c>
      <c r="H125" t="s">
        <v>194</v>
      </c>
      <c r="I125" t="s">
        <v>195</v>
      </c>
      <c r="J125" t="s">
        <v>196</v>
      </c>
      <c r="K125" t="s">
        <v>40</v>
      </c>
      <c r="L125">
        <v>12</v>
      </c>
      <c r="M125" s="5">
        <v>15375</v>
      </c>
      <c r="N125" s="5">
        <f>+M125*1.3</f>
        <v>19987.5</v>
      </c>
      <c r="O125" s="2">
        <f>+N125-M125</f>
        <v>4612.5</v>
      </c>
    </row>
    <row r="126" spans="1:15" x14ac:dyDescent="0.2">
      <c r="A126" t="s">
        <v>13</v>
      </c>
      <c r="B126">
        <v>1</v>
      </c>
      <c r="C126" t="s">
        <v>126</v>
      </c>
      <c r="D126" t="s">
        <v>127</v>
      </c>
      <c r="E126" t="s">
        <v>16</v>
      </c>
      <c r="F126" t="s">
        <v>16</v>
      </c>
      <c r="G126">
        <v>2</v>
      </c>
      <c r="H126" t="s">
        <v>197</v>
      </c>
      <c r="I126" t="s">
        <v>198</v>
      </c>
      <c r="J126" t="s">
        <v>180</v>
      </c>
      <c r="K126" t="s">
        <v>181</v>
      </c>
      <c r="L126">
        <v>12</v>
      </c>
      <c r="M126" s="5">
        <v>12546</v>
      </c>
      <c r="N126" s="5">
        <f>+M126*1.3</f>
        <v>16309.800000000001</v>
      </c>
      <c r="O126" s="2">
        <f>+N126-M126</f>
        <v>3763.8000000000011</v>
      </c>
    </row>
    <row r="127" spans="1:15" x14ac:dyDescent="0.2">
      <c r="A127" t="s">
        <v>21</v>
      </c>
      <c r="B127">
        <v>1</v>
      </c>
      <c r="C127" t="s">
        <v>126</v>
      </c>
      <c r="D127" t="s">
        <v>127</v>
      </c>
      <c r="E127" t="s">
        <v>16</v>
      </c>
      <c r="F127" t="s">
        <v>16</v>
      </c>
      <c r="G127">
        <v>2</v>
      </c>
      <c r="H127" t="s">
        <v>197</v>
      </c>
      <c r="I127" t="s">
        <v>198</v>
      </c>
      <c r="J127" t="s">
        <v>180</v>
      </c>
      <c r="K127" t="s">
        <v>181</v>
      </c>
      <c r="L127">
        <v>12</v>
      </c>
      <c r="M127" s="5">
        <v>12546</v>
      </c>
      <c r="N127" s="5">
        <f>+M127*1.3</f>
        <v>16309.800000000001</v>
      </c>
      <c r="O127" s="2">
        <f>+N127-M127</f>
        <v>3763.8000000000011</v>
      </c>
    </row>
    <row r="128" spans="1:15" x14ac:dyDescent="0.2">
      <c r="A128" t="s">
        <v>28</v>
      </c>
      <c r="B128">
        <v>3</v>
      </c>
      <c r="C128" t="s">
        <v>126</v>
      </c>
      <c r="D128" t="s">
        <v>127</v>
      </c>
      <c r="E128" t="s">
        <v>16</v>
      </c>
      <c r="F128" t="s">
        <v>16</v>
      </c>
      <c r="G128">
        <v>2</v>
      </c>
      <c r="H128" t="s">
        <v>197</v>
      </c>
      <c r="I128" t="s">
        <v>198</v>
      </c>
      <c r="J128" t="s">
        <v>180</v>
      </c>
      <c r="K128" t="s">
        <v>181</v>
      </c>
      <c r="L128">
        <v>12</v>
      </c>
      <c r="M128" s="5">
        <v>12546</v>
      </c>
      <c r="N128" s="5">
        <f>+M128*1.3</f>
        <v>16309.800000000001</v>
      </c>
      <c r="O128" s="2">
        <f>+N128-M128</f>
        <v>3763.8000000000011</v>
      </c>
    </row>
    <row r="129" spans="1:15" x14ac:dyDescent="0.2">
      <c r="A129" t="s">
        <v>45</v>
      </c>
      <c r="B129">
        <v>3</v>
      </c>
      <c r="C129" t="s">
        <v>14</v>
      </c>
      <c r="D129" t="s">
        <v>46</v>
      </c>
      <c r="E129" t="s">
        <v>16</v>
      </c>
      <c r="F129" t="s">
        <v>16</v>
      </c>
      <c r="G129">
        <v>1</v>
      </c>
      <c r="H129" t="s">
        <v>199</v>
      </c>
      <c r="I129" t="s">
        <v>200</v>
      </c>
      <c r="J129" t="s">
        <v>39</v>
      </c>
      <c r="K129" t="s">
        <v>40</v>
      </c>
      <c r="L129">
        <v>1</v>
      </c>
      <c r="M129" s="5">
        <v>1585</v>
      </c>
      <c r="N129" s="5">
        <f>+M129*1.3</f>
        <v>2060.5</v>
      </c>
      <c r="O129" s="2">
        <f>+N129-M129</f>
        <v>475.5</v>
      </c>
    </row>
    <row r="130" spans="1:15" x14ac:dyDescent="0.2">
      <c r="A130" t="s">
        <v>41</v>
      </c>
      <c r="B130">
        <v>3</v>
      </c>
      <c r="C130" t="s">
        <v>14</v>
      </c>
      <c r="D130" t="s">
        <v>46</v>
      </c>
      <c r="E130" t="s">
        <v>16</v>
      </c>
      <c r="F130" t="s">
        <v>16</v>
      </c>
      <c r="G130">
        <v>1</v>
      </c>
      <c r="H130" t="s">
        <v>199</v>
      </c>
      <c r="I130" t="s">
        <v>200</v>
      </c>
      <c r="J130" t="s">
        <v>39</v>
      </c>
      <c r="K130" t="s">
        <v>40</v>
      </c>
      <c r="L130">
        <v>1</v>
      </c>
      <c r="M130" s="5">
        <v>1585</v>
      </c>
      <c r="N130" s="5">
        <f>+M130*1.3</f>
        <v>2060.5</v>
      </c>
      <c r="O130" s="2">
        <f>+N130-M130</f>
        <v>475.5</v>
      </c>
    </row>
    <row r="131" spans="1:15" x14ac:dyDescent="0.2">
      <c r="A131" t="s">
        <v>28</v>
      </c>
      <c r="B131">
        <v>3</v>
      </c>
      <c r="C131" t="s">
        <v>14</v>
      </c>
      <c r="D131" t="s">
        <v>46</v>
      </c>
      <c r="E131" t="s">
        <v>16</v>
      </c>
      <c r="F131" t="s">
        <v>16</v>
      </c>
      <c r="G131">
        <v>1</v>
      </c>
      <c r="H131" t="s">
        <v>199</v>
      </c>
      <c r="I131" t="s">
        <v>200</v>
      </c>
      <c r="J131" t="s">
        <v>39</v>
      </c>
      <c r="K131" t="s">
        <v>40</v>
      </c>
      <c r="L131">
        <v>1</v>
      </c>
      <c r="M131" s="5">
        <v>1585</v>
      </c>
      <c r="N131" s="5">
        <f>+M131*1.3</f>
        <v>2060.5</v>
      </c>
      <c r="O131" s="2">
        <f>+N131-M131</f>
        <v>475.5</v>
      </c>
    </row>
    <row r="132" spans="1:15" x14ac:dyDescent="0.2">
      <c r="A132" t="s">
        <v>88</v>
      </c>
      <c r="B132">
        <v>1</v>
      </c>
      <c r="C132" t="s">
        <v>14</v>
      </c>
      <c r="D132" t="s">
        <v>89</v>
      </c>
      <c r="E132" t="s">
        <v>16</v>
      </c>
      <c r="F132" t="s">
        <v>16</v>
      </c>
      <c r="G132">
        <v>89</v>
      </c>
      <c r="H132" t="s">
        <v>201</v>
      </c>
      <c r="I132" t="s">
        <v>202</v>
      </c>
      <c r="J132" t="s">
        <v>39</v>
      </c>
      <c r="K132" t="s">
        <v>40</v>
      </c>
      <c r="L132">
        <v>12</v>
      </c>
      <c r="M132" s="5">
        <v>46371</v>
      </c>
      <c r="N132" s="5">
        <f>+M132*1.3</f>
        <v>60282.3</v>
      </c>
      <c r="O132" s="2">
        <f>+N132-M132</f>
        <v>13911.300000000003</v>
      </c>
    </row>
    <row r="133" spans="1:15" x14ac:dyDescent="0.2">
      <c r="A133" t="s">
        <v>88</v>
      </c>
      <c r="B133">
        <v>3</v>
      </c>
      <c r="C133" t="s">
        <v>14</v>
      </c>
      <c r="D133" t="s">
        <v>89</v>
      </c>
      <c r="E133" t="s">
        <v>16</v>
      </c>
      <c r="F133" t="s">
        <v>16</v>
      </c>
      <c r="G133">
        <v>6</v>
      </c>
      <c r="H133" t="s">
        <v>203</v>
      </c>
      <c r="I133" t="s">
        <v>204</v>
      </c>
      <c r="J133" t="s">
        <v>123</v>
      </c>
      <c r="K133" t="s">
        <v>57</v>
      </c>
      <c r="L133">
        <v>1</v>
      </c>
      <c r="M133" s="5">
        <v>430375</v>
      </c>
      <c r="N133" s="5">
        <f>+M133*1.3</f>
        <v>559487.5</v>
      </c>
      <c r="O133" s="2">
        <f>+N133-M133</f>
        <v>129112.5</v>
      </c>
    </row>
    <row r="134" spans="1:15" x14ac:dyDescent="0.2">
      <c r="A134" t="s">
        <v>88</v>
      </c>
      <c r="B134">
        <v>2</v>
      </c>
      <c r="C134" t="s">
        <v>14</v>
      </c>
      <c r="D134" t="s">
        <v>89</v>
      </c>
      <c r="E134" t="s">
        <v>16</v>
      </c>
      <c r="F134" t="s">
        <v>16</v>
      </c>
      <c r="G134">
        <v>14</v>
      </c>
      <c r="H134" t="s">
        <v>205</v>
      </c>
      <c r="I134" t="s">
        <v>206</v>
      </c>
      <c r="J134" t="s">
        <v>70</v>
      </c>
      <c r="K134" t="s">
        <v>50</v>
      </c>
      <c r="L134">
        <v>1</v>
      </c>
      <c r="M134" s="5">
        <v>52639</v>
      </c>
      <c r="N134" s="5">
        <f>+M134*1.3</f>
        <v>68430.7</v>
      </c>
      <c r="O134" s="2">
        <f>+N134-M134</f>
        <v>15791.699999999997</v>
      </c>
    </row>
    <row r="135" spans="1:15" x14ac:dyDescent="0.2">
      <c r="A135" t="s">
        <v>28</v>
      </c>
      <c r="B135">
        <v>3</v>
      </c>
      <c r="C135" t="s">
        <v>126</v>
      </c>
      <c r="D135" t="s">
        <v>130</v>
      </c>
      <c r="E135" t="s">
        <v>16</v>
      </c>
      <c r="F135" t="s">
        <v>16</v>
      </c>
      <c r="G135">
        <v>5</v>
      </c>
      <c r="H135" t="s">
        <v>207</v>
      </c>
      <c r="I135" t="s">
        <v>208</v>
      </c>
      <c r="J135" t="s">
        <v>180</v>
      </c>
      <c r="K135" t="s">
        <v>181</v>
      </c>
      <c r="L135">
        <v>24</v>
      </c>
      <c r="M135" s="5">
        <v>24044</v>
      </c>
      <c r="N135" s="5">
        <f>+M135*1.3</f>
        <v>31257.200000000001</v>
      </c>
      <c r="O135" s="2">
        <f>+N135-M135</f>
        <v>7213.2000000000007</v>
      </c>
    </row>
    <row r="136" spans="1:15" x14ac:dyDescent="0.2">
      <c r="A136" t="s">
        <v>35</v>
      </c>
      <c r="B136">
        <v>3</v>
      </c>
      <c r="C136" t="s">
        <v>14</v>
      </c>
      <c r="D136" t="s">
        <v>36</v>
      </c>
      <c r="E136" t="s">
        <v>16</v>
      </c>
      <c r="F136" t="s">
        <v>16</v>
      </c>
      <c r="G136">
        <v>8</v>
      </c>
      <c r="H136" t="s">
        <v>209</v>
      </c>
      <c r="I136" t="s">
        <v>210</v>
      </c>
      <c r="J136" t="s">
        <v>60</v>
      </c>
      <c r="K136" t="s">
        <v>40</v>
      </c>
      <c r="L136">
        <v>12</v>
      </c>
      <c r="M136" s="5">
        <v>40374</v>
      </c>
      <c r="N136" s="5">
        <f>+M136*1.3</f>
        <v>52486.200000000004</v>
      </c>
      <c r="O136" s="2">
        <f>+N136-M136</f>
        <v>12112.200000000004</v>
      </c>
    </row>
    <row r="137" spans="1:15" x14ac:dyDescent="0.2">
      <c r="A137" t="s">
        <v>41</v>
      </c>
      <c r="B137">
        <v>3</v>
      </c>
      <c r="C137" t="s">
        <v>14</v>
      </c>
      <c r="D137" t="s">
        <v>36</v>
      </c>
      <c r="E137" t="s">
        <v>16</v>
      </c>
      <c r="F137" t="s">
        <v>16</v>
      </c>
      <c r="G137">
        <v>8</v>
      </c>
      <c r="H137" t="s">
        <v>209</v>
      </c>
      <c r="I137" t="s">
        <v>210</v>
      </c>
      <c r="J137" t="s">
        <v>60</v>
      </c>
      <c r="K137" t="s">
        <v>40</v>
      </c>
      <c r="L137">
        <v>12</v>
      </c>
      <c r="M137" s="5">
        <v>40374</v>
      </c>
      <c r="N137" s="5">
        <f>+M137*1.3</f>
        <v>52486.200000000004</v>
      </c>
      <c r="O137" s="2">
        <f>+N137-M137</f>
        <v>12112.200000000004</v>
      </c>
    </row>
    <row r="138" spans="1:15" x14ac:dyDescent="0.2">
      <c r="A138" t="s">
        <v>21</v>
      </c>
      <c r="B138">
        <v>1</v>
      </c>
      <c r="C138" t="s">
        <v>14</v>
      </c>
      <c r="D138" t="s">
        <v>36</v>
      </c>
      <c r="E138" t="s">
        <v>16</v>
      </c>
      <c r="F138" t="s">
        <v>16</v>
      </c>
      <c r="G138">
        <v>8</v>
      </c>
      <c r="H138" t="s">
        <v>209</v>
      </c>
      <c r="I138" t="s">
        <v>210</v>
      </c>
      <c r="J138" t="s">
        <v>60</v>
      </c>
      <c r="K138" t="s">
        <v>40</v>
      </c>
      <c r="L138">
        <v>12</v>
      </c>
      <c r="M138" s="5">
        <v>40374</v>
      </c>
      <c r="N138" s="5">
        <f>+M138*1.3</f>
        <v>52486.200000000004</v>
      </c>
      <c r="O138" s="2">
        <f>+N138-M138</f>
        <v>12112.200000000004</v>
      </c>
    </row>
    <row r="139" spans="1:15" x14ac:dyDescent="0.2">
      <c r="A139" t="s">
        <v>28</v>
      </c>
      <c r="B139">
        <v>3</v>
      </c>
      <c r="C139" t="s">
        <v>14</v>
      </c>
      <c r="D139" t="s">
        <v>36</v>
      </c>
      <c r="E139" t="s">
        <v>16</v>
      </c>
      <c r="F139" t="s">
        <v>16</v>
      </c>
      <c r="G139">
        <v>8</v>
      </c>
      <c r="H139" t="s">
        <v>209</v>
      </c>
      <c r="I139" t="s">
        <v>210</v>
      </c>
      <c r="J139" t="s">
        <v>60</v>
      </c>
      <c r="K139" t="s">
        <v>40</v>
      </c>
      <c r="L139">
        <v>12</v>
      </c>
      <c r="M139" s="5">
        <v>40374</v>
      </c>
      <c r="N139" s="5">
        <f>+M139*1.3</f>
        <v>52486.200000000004</v>
      </c>
      <c r="O139" s="2">
        <f>+N139-M139</f>
        <v>12112.200000000004</v>
      </c>
    </row>
    <row r="140" spans="1:15" x14ac:dyDescent="0.2">
      <c r="A140" t="s">
        <v>45</v>
      </c>
      <c r="B140">
        <v>1</v>
      </c>
      <c r="C140" t="s">
        <v>14</v>
      </c>
      <c r="D140" t="s">
        <v>211</v>
      </c>
      <c r="E140" t="s">
        <v>16</v>
      </c>
      <c r="F140" t="s">
        <v>16</v>
      </c>
      <c r="G140">
        <v>1</v>
      </c>
      <c r="H140" t="s">
        <v>212</v>
      </c>
      <c r="I140" t="s">
        <v>213</v>
      </c>
      <c r="J140" t="s">
        <v>70</v>
      </c>
      <c r="K140" t="s">
        <v>50</v>
      </c>
      <c r="L140">
        <v>1</v>
      </c>
      <c r="M140" s="5">
        <v>36069</v>
      </c>
      <c r="N140" s="5">
        <f>+M140*1.3</f>
        <v>46889.700000000004</v>
      </c>
      <c r="O140" s="2">
        <f>+N140-M140</f>
        <v>10820.700000000004</v>
      </c>
    </row>
    <row r="141" spans="1:15" x14ac:dyDescent="0.2">
      <c r="A141" t="s">
        <v>41</v>
      </c>
      <c r="B141">
        <v>1</v>
      </c>
      <c r="C141" t="s">
        <v>14</v>
      </c>
      <c r="D141" t="s">
        <v>211</v>
      </c>
      <c r="E141" t="s">
        <v>16</v>
      </c>
      <c r="F141" t="s">
        <v>16</v>
      </c>
      <c r="G141">
        <v>1</v>
      </c>
      <c r="H141" t="s">
        <v>212</v>
      </c>
      <c r="I141" t="s">
        <v>213</v>
      </c>
      <c r="J141" t="s">
        <v>70</v>
      </c>
      <c r="K141" t="s">
        <v>50</v>
      </c>
      <c r="L141">
        <v>1</v>
      </c>
      <c r="M141" s="5">
        <v>36069</v>
      </c>
      <c r="N141" s="5">
        <f>+M141*1.3</f>
        <v>46889.700000000004</v>
      </c>
      <c r="O141" s="2">
        <f>+N141-M141</f>
        <v>10820.700000000004</v>
      </c>
    </row>
    <row r="142" spans="1:15" x14ac:dyDescent="0.2">
      <c r="A142" t="s">
        <v>28</v>
      </c>
      <c r="B142">
        <v>1</v>
      </c>
      <c r="C142" t="s">
        <v>14</v>
      </c>
      <c r="D142" t="s">
        <v>211</v>
      </c>
      <c r="E142" t="s">
        <v>16</v>
      </c>
      <c r="F142" t="s">
        <v>16</v>
      </c>
      <c r="G142">
        <v>1</v>
      </c>
      <c r="H142" t="s">
        <v>212</v>
      </c>
      <c r="I142" t="s">
        <v>213</v>
      </c>
      <c r="J142" t="s">
        <v>70</v>
      </c>
      <c r="K142" t="s">
        <v>50</v>
      </c>
      <c r="L142">
        <v>1</v>
      </c>
      <c r="M142" s="5">
        <v>36069</v>
      </c>
      <c r="N142" s="5">
        <f>+M142*1.3</f>
        <v>46889.700000000004</v>
      </c>
      <c r="O142" s="2">
        <f>+N142-M142</f>
        <v>10820.700000000004</v>
      </c>
    </row>
    <row r="143" spans="1:15" x14ac:dyDescent="0.2">
      <c r="A143" t="s">
        <v>45</v>
      </c>
      <c r="B143">
        <v>3</v>
      </c>
      <c r="C143" t="s">
        <v>94</v>
      </c>
      <c r="D143" t="s">
        <v>214</v>
      </c>
      <c r="E143" t="s">
        <v>16</v>
      </c>
      <c r="F143" t="s">
        <v>16</v>
      </c>
      <c r="G143">
        <v>1</v>
      </c>
      <c r="H143" t="s">
        <v>215</v>
      </c>
      <c r="I143" t="s">
        <v>216</v>
      </c>
      <c r="J143" t="s">
        <v>175</v>
      </c>
      <c r="K143" t="s">
        <v>98</v>
      </c>
      <c r="L143">
        <v>12</v>
      </c>
      <c r="M143" s="5">
        <v>27574</v>
      </c>
      <c r="N143" s="5">
        <f>+M143*1.3</f>
        <v>35846.200000000004</v>
      </c>
      <c r="O143" s="2">
        <f>+N143-M143</f>
        <v>8272.2000000000044</v>
      </c>
    </row>
    <row r="144" spans="1:15" x14ac:dyDescent="0.2">
      <c r="A144" t="s">
        <v>41</v>
      </c>
      <c r="B144">
        <v>3</v>
      </c>
      <c r="C144" t="s">
        <v>94</v>
      </c>
      <c r="D144" t="s">
        <v>214</v>
      </c>
      <c r="E144" t="s">
        <v>16</v>
      </c>
      <c r="F144" t="s">
        <v>16</v>
      </c>
      <c r="G144">
        <v>1</v>
      </c>
      <c r="H144" t="s">
        <v>215</v>
      </c>
      <c r="I144" t="s">
        <v>216</v>
      </c>
      <c r="J144" t="s">
        <v>175</v>
      </c>
      <c r="K144" t="s">
        <v>98</v>
      </c>
      <c r="L144">
        <v>12</v>
      </c>
      <c r="M144" s="5">
        <v>27574</v>
      </c>
      <c r="N144" s="5">
        <f>+M144*1.3</f>
        <v>35846.200000000004</v>
      </c>
      <c r="O144" s="2">
        <f>+N144-M144</f>
        <v>8272.2000000000044</v>
      </c>
    </row>
    <row r="145" spans="1:15" x14ac:dyDescent="0.2">
      <c r="A145" t="s">
        <v>88</v>
      </c>
      <c r="B145">
        <v>2</v>
      </c>
      <c r="C145" t="s">
        <v>14</v>
      </c>
      <c r="D145" t="s">
        <v>89</v>
      </c>
      <c r="E145" t="s">
        <v>16</v>
      </c>
      <c r="F145" t="s">
        <v>16</v>
      </c>
      <c r="G145">
        <v>11</v>
      </c>
      <c r="H145" t="s">
        <v>217</v>
      </c>
      <c r="I145" t="s">
        <v>218</v>
      </c>
      <c r="J145" t="s">
        <v>70</v>
      </c>
      <c r="K145" t="s">
        <v>50</v>
      </c>
      <c r="L145">
        <v>1</v>
      </c>
      <c r="M145" s="5">
        <v>47454</v>
      </c>
      <c r="N145" s="5">
        <f>+M145*1.3</f>
        <v>61690.200000000004</v>
      </c>
      <c r="O145" s="2">
        <f>+N145-M145</f>
        <v>14236.200000000004</v>
      </c>
    </row>
    <row r="146" spans="1:15" x14ac:dyDescent="0.2">
      <c r="A146" t="s">
        <v>35</v>
      </c>
      <c r="B146">
        <v>1</v>
      </c>
      <c r="C146" t="s">
        <v>14</v>
      </c>
      <c r="D146" t="s">
        <v>36</v>
      </c>
      <c r="E146" t="s">
        <v>16</v>
      </c>
      <c r="F146" t="s">
        <v>16</v>
      </c>
      <c r="G146">
        <v>3</v>
      </c>
      <c r="H146" t="s">
        <v>219</v>
      </c>
      <c r="I146" t="s">
        <v>220</v>
      </c>
      <c r="J146" t="s">
        <v>56</v>
      </c>
      <c r="K146" t="s">
        <v>57</v>
      </c>
      <c r="L146">
        <v>1</v>
      </c>
      <c r="M146" s="5">
        <v>557444</v>
      </c>
      <c r="N146" s="5">
        <f>+M146*1.3</f>
        <v>724677.20000000007</v>
      </c>
      <c r="O146" s="2">
        <f>+N146-M146</f>
        <v>167233.20000000007</v>
      </c>
    </row>
    <row r="147" spans="1:15" x14ac:dyDescent="0.2">
      <c r="A147" t="s">
        <v>41</v>
      </c>
      <c r="B147">
        <v>1</v>
      </c>
      <c r="C147" t="s">
        <v>14</v>
      </c>
      <c r="D147" t="s">
        <v>36</v>
      </c>
      <c r="E147" t="s">
        <v>16</v>
      </c>
      <c r="F147" t="s">
        <v>16</v>
      </c>
      <c r="G147">
        <v>3</v>
      </c>
      <c r="H147" t="s">
        <v>219</v>
      </c>
      <c r="I147" t="s">
        <v>220</v>
      </c>
      <c r="J147" t="s">
        <v>56</v>
      </c>
      <c r="K147" t="s">
        <v>57</v>
      </c>
      <c r="L147">
        <v>1</v>
      </c>
      <c r="M147" s="5">
        <v>557444</v>
      </c>
      <c r="N147" s="5">
        <f>+M147*1.3</f>
        <v>724677.20000000007</v>
      </c>
      <c r="O147" s="2">
        <f>+N147-M147</f>
        <v>167233.20000000007</v>
      </c>
    </row>
    <row r="148" spans="1:15" x14ac:dyDescent="0.2">
      <c r="A148" t="s">
        <v>21</v>
      </c>
      <c r="B148">
        <v>3</v>
      </c>
      <c r="C148" t="s">
        <v>14</v>
      </c>
      <c r="D148" t="s">
        <v>36</v>
      </c>
      <c r="E148" t="s">
        <v>16</v>
      </c>
      <c r="F148" t="s">
        <v>16</v>
      </c>
      <c r="G148">
        <v>3</v>
      </c>
      <c r="H148" t="s">
        <v>219</v>
      </c>
      <c r="I148" t="s">
        <v>220</v>
      </c>
      <c r="J148" t="s">
        <v>56</v>
      </c>
      <c r="K148" t="s">
        <v>57</v>
      </c>
      <c r="L148">
        <v>1</v>
      </c>
      <c r="M148" s="5">
        <v>557444</v>
      </c>
      <c r="N148" s="5">
        <f>+M148*1.3</f>
        <v>724677.20000000007</v>
      </c>
      <c r="O148" s="2">
        <f>+N148-M148</f>
        <v>167233.20000000007</v>
      </c>
    </row>
    <row r="149" spans="1:15" x14ac:dyDescent="0.2">
      <c r="A149" t="s">
        <v>28</v>
      </c>
      <c r="B149">
        <v>1</v>
      </c>
      <c r="C149" t="s">
        <v>14</v>
      </c>
      <c r="D149" t="s">
        <v>36</v>
      </c>
      <c r="E149" t="s">
        <v>16</v>
      </c>
      <c r="F149" t="s">
        <v>16</v>
      </c>
      <c r="G149">
        <v>3</v>
      </c>
      <c r="H149" t="s">
        <v>219</v>
      </c>
      <c r="I149" t="s">
        <v>220</v>
      </c>
      <c r="J149" t="s">
        <v>56</v>
      </c>
      <c r="K149" t="s">
        <v>57</v>
      </c>
      <c r="L149">
        <v>1</v>
      </c>
      <c r="M149" s="5">
        <v>557444</v>
      </c>
      <c r="N149" s="5">
        <f>+M149*1.3</f>
        <v>724677.20000000007</v>
      </c>
      <c r="O149" s="2">
        <f>+N149-M149</f>
        <v>167233.20000000007</v>
      </c>
    </row>
    <row r="150" spans="1:15" x14ac:dyDescent="0.2">
      <c r="A150" t="s">
        <v>13</v>
      </c>
      <c r="B150">
        <v>3</v>
      </c>
      <c r="C150" t="s">
        <v>126</v>
      </c>
      <c r="D150" t="s">
        <v>127</v>
      </c>
      <c r="E150" t="s">
        <v>16</v>
      </c>
      <c r="F150" t="s">
        <v>16</v>
      </c>
      <c r="G150">
        <v>1</v>
      </c>
      <c r="H150" t="s">
        <v>221</v>
      </c>
      <c r="I150" t="s">
        <v>222</v>
      </c>
      <c r="J150" t="s">
        <v>103</v>
      </c>
      <c r="K150" t="s">
        <v>50</v>
      </c>
      <c r="L150">
        <v>1</v>
      </c>
      <c r="M150" s="5">
        <v>59926</v>
      </c>
      <c r="N150" s="5">
        <f>+M150*1.3</f>
        <v>77903.8</v>
      </c>
      <c r="O150" s="2">
        <f>+N150-M150</f>
        <v>17977.800000000003</v>
      </c>
    </row>
    <row r="151" spans="1:15" x14ac:dyDescent="0.2">
      <c r="A151" t="s">
        <v>21</v>
      </c>
      <c r="B151">
        <v>2</v>
      </c>
      <c r="C151" t="s">
        <v>126</v>
      </c>
      <c r="D151" t="s">
        <v>127</v>
      </c>
      <c r="E151" t="s">
        <v>16</v>
      </c>
      <c r="F151" t="s">
        <v>16</v>
      </c>
      <c r="G151">
        <v>1</v>
      </c>
      <c r="H151" t="s">
        <v>221</v>
      </c>
      <c r="I151" t="s">
        <v>222</v>
      </c>
      <c r="J151" t="s">
        <v>103</v>
      </c>
      <c r="K151" t="s">
        <v>50</v>
      </c>
      <c r="L151">
        <v>1</v>
      </c>
      <c r="M151" s="5">
        <v>59926</v>
      </c>
      <c r="N151" s="5">
        <f>+M151*1.3</f>
        <v>77903.8</v>
      </c>
      <c r="O151" s="2">
        <f>+N151-M151</f>
        <v>17977.800000000003</v>
      </c>
    </row>
    <row r="152" spans="1:15" x14ac:dyDescent="0.2">
      <c r="A152" t="s">
        <v>28</v>
      </c>
      <c r="B152">
        <v>1</v>
      </c>
      <c r="C152" t="s">
        <v>126</v>
      </c>
      <c r="D152" t="s">
        <v>127</v>
      </c>
      <c r="E152" t="s">
        <v>16</v>
      </c>
      <c r="F152" t="s">
        <v>16</v>
      </c>
      <c r="G152">
        <v>1</v>
      </c>
      <c r="H152" t="s">
        <v>221</v>
      </c>
      <c r="I152" t="s">
        <v>222</v>
      </c>
      <c r="J152" t="s">
        <v>103</v>
      </c>
      <c r="K152" t="s">
        <v>50</v>
      </c>
      <c r="L152">
        <v>1</v>
      </c>
      <c r="M152" s="5">
        <v>59926</v>
      </c>
      <c r="N152" s="5">
        <f>+M152*1.3</f>
        <v>77903.8</v>
      </c>
      <c r="O152" s="2">
        <f>+N152-M152</f>
        <v>17977.800000000003</v>
      </c>
    </row>
    <row r="153" spans="1:15" x14ac:dyDescent="0.2">
      <c r="A153" t="s">
        <v>88</v>
      </c>
      <c r="B153">
        <v>1</v>
      </c>
      <c r="C153" t="s">
        <v>161</v>
      </c>
      <c r="D153" t="s">
        <v>89</v>
      </c>
      <c r="E153" t="s">
        <v>16</v>
      </c>
      <c r="F153" t="s">
        <v>16</v>
      </c>
      <c r="G153">
        <v>55</v>
      </c>
      <c r="H153" t="s">
        <v>223</v>
      </c>
      <c r="I153" t="s">
        <v>224</v>
      </c>
      <c r="J153" t="s">
        <v>152</v>
      </c>
      <c r="K153" t="s">
        <v>40</v>
      </c>
      <c r="L153">
        <v>12</v>
      </c>
      <c r="M153" s="5">
        <v>28062</v>
      </c>
      <c r="N153" s="5">
        <f>+M153*1.3</f>
        <v>36480.6</v>
      </c>
      <c r="O153" s="2">
        <f>+N153-M153</f>
        <v>8418.5999999999985</v>
      </c>
    </row>
    <row r="154" spans="1:15" x14ac:dyDescent="0.2">
      <c r="A154" t="s">
        <v>88</v>
      </c>
      <c r="B154">
        <v>1</v>
      </c>
      <c r="C154" t="s">
        <v>14</v>
      </c>
      <c r="D154" t="s">
        <v>89</v>
      </c>
      <c r="E154" t="s">
        <v>16</v>
      </c>
      <c r="F154" t="s">
        <v>16</v>
      </c>
      <c r="G154">
        <v>2</v>
      </c>
      <c r="H154" t="s">
        <v>225</v>
      </c>
      <c r="I154" t="s">
        <v>226</v>
      </c>
      <c r="J154" t="s">
        <v>26</v>
      </c>
      <c r="K154" t="s">
        <v>27</v>
      </c>
      <c r="L154">
        <v>6</v>
      </c>
      <c r="M154" s="5">
        <v>10040</v>
      </c>
      <c r="N154" s="5">
        <f>+M154*1.3</f>
        <v>13052</v>
      </c>
      <c r="O154" s="2">
        <f>+N154-M154</f>
        <v>3012</v>
      </c>
    </row>
    <row r="155" spans="1:15" x14ac:dyDescent="0.2">
      <c r="A155" t="s">
        <v>88</v>
      </c>
      <c r="B155">
        <v>3</v>
      </c>
      <c r="C155" t="s">
        <v>14</v>
      </c>
      <c r="D155" t="s">
        <v>89</v>
      </c>
      <c r="E155" t="s">
        <v>16</v>
      </c>
      <c r="F155" t="s">
        <v>16</v>
      </c>
      <c r="G155">
        <v>19</v>
      </c>
      <c r="H155" t="s">
        <v>227</v>
      </c>
      <c r="I155" t="s">
        <v>228</v>
      </c>
      <c r="J155" t="s">
        <v>123</v>
      </c>
      <c r="K155" t="s">
        <v>57</v>
      </c>
      <c r="L155">
        <v>1</v>
      </c>
      <c r="M155" s="5">
        <v>1147467</v>
      </c>
      <c r="N155" s="5">
        <f>+M155*1.3</f>
        <v>1491707.1</v>
      </c>
      <c r="O155" s="2">
        <f>+N155-M155</f>
        <v>344240.10000000009</v>
      </c>
    </row>
    <row r="156" spans="1:15" x14ac:dyDescent="0.2">
      <c r="A156" t="s">
        <v>88</v>
      </c>
      <c r="B156">
        <v>1</v>
      </c>
      <c r="C156" t="s">
        <v>94</v>
      </c>
      <c r="D156" t="s">
        <v>89</v>
      </c>
      <c r="E156" t="s">
        <v>16</v>
      </c>
      <c r="F156" t="s">
        <v>16</v>
      </c>
      <c r="G156">
        <v>65</v>
      </c>
      <c r="H156" t="s">
        <v>229</v>
      </c>
      <c r="I156" t="s">
        <v>230</v>
      </c>
      <c r="J156" t="s">
        <v>196</v>
      </c>
      <c r="K156" t="s">
        <v>40</v>
      </c>
      <c r="L156">
        <v>12</v>
      </c>
      <c r="M156" s="5">
        <v>32459</v>
      </c>
      <c r="N156" s="5">
        <f>+M156*1.3</f>
        <v>42196.700000000004</v>
      </c>
      <c r="O156" s="2">
        <f>+N156-M156</f>
        <v>9737.7000000000044</v>
      </c>
    </row>
    <row r="157" spans="1:15" x14ac:dyDescent="0.2">
      <c r="A157" t="s">
        <v>13</v>
      </c>
      <c r="B157">
        <v>1</v>
      </c>
      <c r="C157" t="s">
        <v>14</v>
      </c>
      <c r="D157" t="s">
        <v>85</v>
      </c>
      <c r="E157" t="s">
        <v>16</v>
      </c>
      <c r="F157" t="s">
        <v>16</v>
      </c>
      <c r="G157">
        <v>4</v>
      </c>
      <c r="H157" t="s">
        <v>231</v>
      </c>
      <c r="I157" t="s">
        <v>232</v>
      </c>
      <c r="J157" t="s">
        <v>123</v>
      </c>
      <c r="K157" t="s">
        <v>57</v>
      </c>
      <c r="L157">
        <v>1</v>
      </c>
      <c r="M157" s="5">
        <v>584349</v>
      </c>
      <c r="N157" s="5">
        <f>+M157*1.3</f>
        <v>759653.70000000007</v>
      </c>
      <c r="O157" s="2">
        <f>+N157-M157</f>
        <v>175304.70000000007</v>
      </c>
    </row>
    <row r="158" spans="1:15" x14ac:dyDescent="0.2">
      <c r="A158" t="s">
        <v>21</v>
      </c>
      <c r="B158">
        <v>3</v>
      </c>
      <c r="C158" t="s">
        <v>14</v>
      </c>
      <c r="D158" t="s">
        <v>85</v>
      </c>
      <c r="E158" t="s">
        <v>16</v>
      </c>
      <c r="F158" t="s">
        <v>16</v>
      </c>
      <c r="G158">
        <v>4</v>
      </c>
      <c r="H158" t="s">
        <v>231</v>
      </c>
      <c r="I158" t="s">
        <v>232</v>
      </c>
      <c r="J158" t="s">
        <v>123</v>
      </c>
      <c r="K158" t="s">
        <v>57</v>
      </c>
      <c r="L158">
        <v>1</v>
      </c>
      <c r="M158" s="5">
        <v>584349</v>
      </c>
      <c r="N158" s="5">
        <f>+M158*1.3</f>
        <v>759653.70000000007</v>
      </c>
      <c r="O158" s="2">
        <f>+N158-M158</f>
        <v>175304.70000000007</v>
      </c>
    </row>
    <row r="159" spans="1:15" x14ac:dyDescent="0.2">
      <c r="A159" t="s">
        <v>35</v>
      </c>
      <c r="B159">
        <v>1</v>
      </c>
      <c r="C159" t="s">
        <v>14</v>
      </c>
      <c r="D159" t="s">
        <v>36</v>
      </c>
      <c r="E159" t="s">
        <v>16</v>
      </c>
      <c r="F159" t="s">
        <v>16</v>
      </c>
      <c r="G159">
        <v>4</v>
      </c>
      <c r="H159" t="s">
        <v>233</v>
      </c>
      <c r="I159" t="s">
        <v>234</v>
      </c>
      <c r="J159" t="s">
        <v>49</v>
      </c>
      <c r="K159" t="s">
        <v>50</v>
      </c>
      <c r="L159">
        <v>1</v>
      </c>
      <c r="M159" s="5">
        <v>61970</v>
      </c>
      <c r="N159" s="5">
        <f>+M159*1.3</f>
        <v>80561</v>
      </c>
      <c r="O159" s="2">
        <f>+N159-M159</f>
        <v>18591</v>
      </c>
    </row>
    <row r="160" spans="1:15" x14ac:dyDescent="0.2">
      <c r="A160" t="s">
        <v>41</v>
      </c>
      <c r="B160">
        <v>1</v>
      </c>
      <c r="C160" t="s">
        <v>14</v>
      </c>
      <c r="D160" t="s">
        <v>36</v>
      </c>
      <c r="E160" t="s">
        <v>16</v>
      </c>
      <c r="F160" t="s">
        <v>16</v>
      </c>
      <c r="G160">
        <v>4</v>
      </c>
      <c r="H160" t="s">
        <v>233</v>
      </c>
      <c r="I160" t="s">
        <v>234</v>
      </c>
      <c r="J160" t="s">
        <v>49</v>
      </c>
      <c r="K160" t="s">
        <v>50</v>
      </c>
      <c r="L160">
        <v>1</v>
      </c>
      <c r="M160" s="5">
        <v>61970</v>
      </c>
      <c r="N160" s="5">
        <f>+M160*1.3</f>
        <v>80561</v>
      </c>
      <c r="O160" s="2">
        <f>+N160-M160</f>
        <v>18591</v>
      </c>
    </row>
    <row r="161" spans="1:15" x14ac:dyDescent="0.2">
      <c r="A161" t="s">
        <v>21</v>
      </c>
      <c r="B161">
        <v>2</v>
      </c>
      <c r="C161" t="s">
        <v>14</v>
      </c>
      <c r="D161" t="s">
        <v>36</v>
      </c>
      <c r="E161" t="s">
        <v>16</v>
      </c>
      <c r="F161" t="s">
        <v>16</v>
      </c>
      <c r="G161">
        <v>4</v>
      </c>
      <c r="H161" t="s">
        <v>233</v>
      </c>
      <c r="I161" t="s">
        <v>234</v>
      </c>
      <c r="J161" t="s">
        <v>49</v>
      </c>
      <c r="K161" t="s">
        <v>50</v>
      </c>
      <c r="L161">
        <v>1</v>
      </c>
      <c r="M161" s="5">
        <v>61970</v>
      </c>
      <c r="N161" s="5">
        <f>+M161*1.3</f>
        <v>80561</v>
      </c>
      <c r="O161" s="2">
        <f>+N161-M161</f>
        <v>18591</v>
      </c>
    </row>
    <row r="162" spans="1:15" x14ac:dyDescent="0.2">
      <c r="A162" t="s">
        <v>28</v>
      </c>
      <c r="B162">
        <v>1</v>
      </c>
      <c r="C162" t="s">
        <v>14</v>
      </c>
      <c r="D162" t="s">
        <v>36</v>
      </c>
      <c r="E162" t="s">
        <v>16</v>
      </c>
      <c r="F162" t="s">
        <v>16</v>
      </c>
      <c r="G162">
        <v>4</v>
      </c>
      <c r="H162" t="s">
        <v>233</v>
      </c>
      <c r="I162" t="s">
        <v>234</v>
      </c>
      <c r="J162" t="s">
        <v>49</v>
      </c>
      <c r="K162" t="s">
        <v>50</v>
      </c>
      <c r="L162">
        <v>1</v>
      </c>
      <c r="M162" s="5">
        <v>61970</v>
      </c>
      <c r="N162" s="5">
        <f>+M162*1.3</f>
        <v>80561</v>
      </c>
      <c r="O162" s="2">
        <f>+N162-M162</f>
        <v>18591</v>
      </c>
    </row>
    <row r="163" spans="1:15" x14ac:dyDescent="0.2">
      <c r="A163" t="s">
        <v>28</v>
      </c>
      <c r="B163">
        <v>3</v>
      </c>
      <c r="C163" t="s">
        <v>126</v>
      </c>
      <c r="D163" t="s">
        <v>130</v>
      </c>
      <c r="E163" t="s">
        <v>16</v>
      </c>
      <c r="F163" t="s">
        <v>16</v>
      </c>
      <c r="G163">
        <v>6</v>
      </c>
      <c r="H163" t="s">
        <v>235</v>
      </c>
      <c r="I163" t="s">
        <v>236</v>
      </c>
      <c r="J163" t="s">
        <v>180</v>
      </c>
      <c r="K163" t="s">
        <v>181</v>
      </c>
      <c r="L163">
        <v>12</v>
      </c>
      <c r="M163" s="5">
        <v>12592</v>
      </c>
      <c r="N163" s="5">
        <f>+M163*1.3</f>
        <v>16369.6</v>
      </c>
      <c r="O163" s="2">
        <f>+N163-M163</f>
        <v>3777.6000000000004</v>
      </c>
    </row>
    <row r="164" spans="1:15" x14ac:dyDescent="0.2">
      <c r="A164" t="s">
        <v>88</v>
      </c>
      <c r="B164">
        <v>1</v>
      </c>
      <c r="C164" t="s">
        <v>94</v>
      </c>
      <c r="D164" t="s">
        <v>89</v>
      </c>
      <c r="E164" t="s">
        <v>16</v>
      </c>
      <c r="F164" t="s">
        <v>16</v>
      </c>
      <c r="G164">
        <v>6</v>
      </c>
      <c r="H164" t="s">
        <v>237</v>
      </c>
      <c r="I164" t="s">
        <v>238</v>
      </c>
      <c r="J164" t="s">
        <v>66</v>
      </c>
      <c r="K164" t="s">
        <v>27</v>
      </c>
      <c r="L164">
        <v>6</v>
      </c>
      <c r="M164" s="5">
        <v>15782</v>
      </c>
      <c r="N164" s="5">
        <f>+M164*1.3</f>
        <v>20516.600000000002</v>
      </c>
      <c r="O164" s="2">
        <f>+N164-M164</f>
        <v>4734.6000000000022</v>
      </c>
    </row>
    <row r="165" spans="1:15" x14ac:dyDescent="0.2">
      <c r="A165" t="s">
        <v>88</v>
      </c>
      <c r="B165">
        <v>3</v>
      </c>
      <c r="C165" t="s">
        <v>14</v>
      </c>
      <c r="D165" t="s">
        <v>89</v>
      </c>
      <c r="E165" t="s">
        <v>16</v>
      </c>
      <c r="F165" t="s">
        <v>16</v>
      </c>
      <c r="G165">
        <v>17</v>
      </c>
      <c r="H165" t="s">
        <v>239</v>
      </c>
      <c r="I165" t="s">
        <v>240</v>
      </c>
      <c r="J165" t="s">
        <v>56</v>
      </c>
      <c r="K165" t="s">
        <v>57</v>
      </c>
      <c r="L165">
        <v>1</v>
      </c>
      <c r="M165" s="5">
        <v>617183</v>
      </c>
      <c r="N165" s="5">
        <f>+M165*1.3</f>
        <v>802337.9</v>
      </c>
      <c r="O165" s="2">
        <f>+N165-M165</f>
        <v>185154.90000000002</v>
      </c>
    </row>
    <row r="166" spans="1:15" x14ac:dyDescent="0.2">
      <c r="A166" t="s">
        <v>13</v>
      </c>
      <c r="B166">
        <v>3</v>
      </c>
      <c r="C166" t="s">
        <v>14</v>
      </c>
      <c r="D166" t="s">
        <v>85</v>
      </c>
      <c r="E166" t="s">
        <v>16</v>
      </c>
      <c r="F166" t="s">
        <v>16</v>
      </c>
      <c r="G166">
        <v>5</v>
      </c>
      <c r="H166" t="s">
        <v>241</v>
      </c>
      <c r="I166" t="s">
        <v>242</v>
      </c>
      <c r="J166" t="s">
        <v>70</v>
      </c>
      <c r="K166" t="s">
        <v>50</v>
      </c>
      <c r="L166">
        <v>1</v>
      </c>
      <c r="M166" s="5">
        <v>65623</v>
      </c>
      <c r="N166" s="5">
        <f>+M166*1.3</f>
        <v>85309.900000000009</v>
      </c>
      <c r="O166" s="2">
        <f>+N166-M166</f>
        <v>19686.900000000009</v>
      </c>
    </row>
    <row r="167" spans="1:15" x14ac:dyDescent="0.2">
      <c r="A167" t="s">
        <v>21</v>
      </c>
      <c r="B167">
        <v>2</v>
      </c>
      <c r="C167" t="s">
        <v>14</v>
      </c>
      <c r="D167" t="s">
        <v>85</v>
      </c>
      <c r="E167" t="s">
        <v>16</v>
      </c>
      <c r="F167" t="s">
        <v>16</v>
      </c>
      <c r="G167">
        <v>5</v>
      </c>
      <c r="H167" t="s">
        <v>241</v>
      </c>
      <c r="I167" t="s">
        <v>242</v>
      </c>
      <c r="J167" t="s">
        <v>70</v>
      </c>
      <c r="K167" t="s">
        <v>50</v>
      </c>
      <c r="L167">
        <v>1</v>
      </c>
      <c r="M167" s="5">
        <v>65623</v>
      </c>
      <c r="N167" s="5">
        <f>+M167*1.3</f>
        <v>85309.900000000009</v>
      </c>
      <c r="O167" s="2">
        <f>+N167-M167</f>
        <v>19686.900000000009</v>
      </c>
    </row>
    <row r="168" spans="1:15" x14ac:dyDescent="0.2">
      <c r="A168" t="s">
        <v>88</v>
      </c>
      <c r="B168">
        <v>2</v>
      </c>
      <c r="C168" t="s">
        <v>14</v>
      </c>
      <c r="D168" t="s">
        <v>89</v>
      </c>
      <c r="E168" t="s">
        <v>16</v>
      </c>
      <c r="F168" t="s">
        <v>16</v>
      </c>
      <c r="G168">
        <v>12</v>
      </c>
      <c r="H168" t="s">
        <v>243</v>
      </c>
      <c r="I168" t="s">
        <v>244</v>
      </c>
      <c r="J168" t="s">
        <v>70</v>
      </c>
      <c r="K168" t="s">
        <v>50</v>
      </c>
      <c r="L168">
        <v>1</v>
      </c>
      <c r="M168" s="5">
        <v>51300</v>
      </c>
      <c r="N168" s="5">
        <f>+M168*1.3</f>
        <v>66690</v>
      </c>
      <c r="O168" s="2">
        <f>+N168-M168</f>
        <v>15390</v>
      </c>
    </row>
    <row r="169" spans="1:15" x14ac:dyDescent="0.2">
      <c r="A169" t="s">
        <v>88</v>
      </c>
      <c r="B169">
        <v>2</v>
      </c>
      <c r="C169" t="s">
        <v>14</v>
      </c>
      <c r="D169" t="s">
        <v>89</v>
      </c>
      <c r="E169" t="s">
        <v>16</v>
      </c>
      <c r="F169" t="s">
        <v>16</v>
      </c>
      <c r="G169">
        <v>8</v>
      </c>
      <c r="H169" t="s">
        <v>245</v>
      </c>
      <c r="I169" t="s">
        <v>246</v>
      </c>
      <c r="J169" t="s">
        <v>49</v>
      </c>
      <c r="K169" t="s">
        <v>50</v>
      </c>
      <c r="L169">
        <v>1</v>
      </c>
      <c r="M169" s="5">
        <v>44718</v>
      </c>
      <c r="N169" s="5">
        <f>+M169*1.3</f>
        <v>58133.4</v>
      </c>
      <c r="O169" s="2">
        <f>+N169-M169</f>
        <v>13415.400000000001</v>
      </c>
    </row>
    <row r="170" spans="1:15" x14ac:dyDescent="0.2">
      <c r="A170" t="s">
        <v>88</v>
      </c>
      <c r="B170">
        <v>1</v>
      </c>
      <c r="C170" t="s">
        <v>14</v>
      </c>
      <c r="D170" t="s">
        <v>89</v>
      </c>
      <c r="E170" t="s">
        <v>16</v>
      </c>
      <c r="F170" t="s">
        <v>16</v>
      </c>
      <c r="G170">
        <v>85</v>
      </c>
      <c r="H170" t="s">
        <v>247</v>
      </c>
      <c r="I170" t="s">
        <v>248</v>
      </c>
      <c r="J170" t="s">
        <v>39</v>
      </c>
      <c r="K170" t="s">
        <v>40</v>
      </c>
      <c r="L170">
        <v>12</v>
      </c>
      <c r="M170" s="5">
        <v>43519</v>
      </c>
      <c r="N170" s="5">
        <f>+M170*1.3</f>
        <v>56574.700000000004</v>
      </c>
      <c r="O170" s="2">
        <f>+N170-M170</f>
        <v>13055.700000000004</v>
      </c>
    </row>
    <row r="171" spans="1:15" x14ac:dyDescent="0.2">
      <c r="A171" t="s">
        <v>88</v>
      </c>
      <c r="B171">
        <v>1</v>
      </c>
      <c r="C171" t="s">
        <v>14</v>
      </c>
      <c r="D171" t="s">
        <v>89</v>
      </c>
      <c r="E171" t="s">
        <v>16</v>
      </c>
      <c r="F171" t="s">
        <v>16</v>
      </c>
      <c r="G171">
        <v>78</v>
      </c>
      <c r="H171" t="s">
        <v>249</v>
      </c>
      <c r="I171" t="s">
        <v>250</v>
      </c>
      <c r="J171" t="s">
        <v>39</v>
      </c>
      <c r="K171" t="s">
        <v>40</v>
      </c>
      <c r="L171">
        <v>12</v>
      </c>
      <c r="M171" s="5">
        <v>40995</v>
      </c>
      <c r="N171" s="5">
        <f>+M171*1.3</f>
        <v>53293.5</v>
      </c>
      <c r="O171" s="2">
        <f>+N171-M171</f>
        <v>12298.5</v>
      </c>
    </row>
    <row r="172" spans="1:15" x14ac:dyDescent="0.2">
      <c r="A172" t="s">
        <v>13</v>
      </c>
      <c r="B172">
        <v>1</v>
      </c>
      <c r="C172" t="s">
        <v>22</v>
      </c>
      <c r="D172" t="s">
        <v>23</v>
      </c>
      <c r="E172" t="s">
        <v>16</v>
      </c>
      <c r="F172" t="s">
        <v>16</v>
      </c>
      <c r="G172">
        <v>2</v>
      </c>
      <c r="H172" t="s">
        <v>251</v>
      </c>
      <c r="I172" t="s">
        <v>252</v>
      </c>
      <c r="J172" t="s">
        <v>53</v>
      </c>
      <c r="K172" t="s">
        <v>40</v>
      </c>
      <c r="L172">
        <v>12</v>
      </c>
      <c r="M172" s="5">
        <v>35954</v>
      </c>
      <c r="N172" s="5">
        <f>+M172*1.3</f>
        <v>46740.200000000004</v>
      </c>
      <c r="O172" s="2">
        <f>+N172-M172</f>
        <v>10786.200000000004</v>
      </c>
    </row>
    <row r="173" spans="1:15" x14ac:dyDescent="0.2">
      <c r="A173" t="s">
        <v>21</v>
      </c>
      <c r="B173">
        <v>1</v>
      </c>
      <c r="C173" t="s">
        <v>22</v>
      </c>
      <c r="D173" t="s">
        <v>23</v>
      </c>
      <c r="E173" t="s">
        <v>16</v>
      </c>
      <c r="F173" t="s">
        <v>16</v>
      </c>
      <c r="G173">
        <v>2</v>
      </c>
      <c r="H173" t="s">
        <v>251</v>
      </c>
      <c r="I173" t="s">
        <v>252</v>
      </c>
      <c r="J173" t="s">
        <v>53</v>
      </c>
      <c r="K173" t="s">
        <v>40</v>
      </c>
      <c r="L173">
        <v>12</v>
      </c>
      <c r="M173" s="5">
        <v>35954</v>
      </c>
      <c r="N173" s="5">
        <f>+M173*1.3</f>
        <v>46740.200000000004</v>
      </c>
      <c r="O173" s="2">
        <f>+N173-M173</f>
        <v>10786.200000000004</v>
      </c>
    </row>
    <row r="174" spans="1:15" x14ac:dyDescent="0.2">
      <c r="A174" t="s">
        <v>28</v>
      </c>
      <c r="B174">
        <v>3</v>
      </c>
      <c r="C174" t="s">
        <v>22</v>
      </c>
      <c r="D174" t="s">
        <v>23</v>
      </c>
      <c r="E174" t="s">
        <v>16</v>
      </c>
      <c r="F174" t="s">
        <v>16</v>
      </c>
      <c r="G174">
        <v>2</v>
      </c>
      <c r="H174" t="s">
        <v>251</v>
      </c>
      <c r="I174" t="s">
        <v>252</v>
      </c>
      <c r="J174" t="s">
        <v>53</v>
      </c>
      <c r="K174" t="s">
        <v>40</v>
      </c>
      <c r="L174">
        <v>12</v>
      </c>
      <c r="M174" s="5">
        <v>35954</v>
      </c>
      <c r="N174" s="5">
        <f>+M174*1.3</f>
        <v>46740.200000000004</v>
      </c>
      <c r="O174" s="2">
        <f>+N174-M174</f>
        <v>10786.200000000004</v>
      </c>
    </row>
    <row r="175" spans="1:15" x14ac:dyDescent="0.2">
      <c r="A175" t="s">
        <v>88</v>
      </c>
      <c r="B175">
        <v>1</v>
      </c>
      <c r="C175" t="s">
        <v>94</v>
      </c>
      <c r="D175" t="s">
        <v>89</v>
      </c>
      <c r="E175" t="s">
        <v>16</v>
      </c>
      <c r="F175" t="s">
        <v>16</v>
      </c>
      <c r="G175">
        <v>3</v>
      </c>
      <c r="H175" t="s">
        <v>253</v>
      </c>
      <c r="I175" t="s">
        <v>254</v>
      </c>
      <c r="J175" t="s">
        <v>255</v>
      </c>
      <c r="K175" t="s">
        <v>98</v>
      </c>
      <c r="L175">
        <v>24</v>
      </c>
      <c r="M175" s="5">
        <v>13365</v>
      </c>
      <c r="N175" s="5">
        <f>+M175*1.3</f>
        <v>17374.5</v>
      </c>
      <c r="O175" s="2">
        <f>+N175-M175</f>
        <v>4009.5</v>
      </c>
    </row>
    <row r="176" spans="1:15" x14ac:dyDescent="0.2">
      <c r="A176" t="s">
        <v>13</v>
      </c>
      <c r="B176">
        <v>2</v>
      </c>
      <c r="C176" t="s">
        <v>14</v>
      </c>
      <c r="D176" t="s">
        <v>85</v>
      </c>
      <c r="E176" t="s">
        <v>16</v>
      </c>
      <c r="F176" t="s">
        <v>16</v>
      </c>
      <c r="G176">
        <v>5</v>
      </c>
      <c r="H176" t="s">
        <v>256</v>
      </c>
      <c r="I176" t="s">
        <v>257</v>
      </c>
      <c r="J176" t="s">
        <v>32</v>
      </c>
      <c r="K176" t="s">
        <v>27</v>
      </c>
      <c r="L176">
        <v>4</v>
      </c>
      <c r="M176" s="5">
        <v>55458</v>
      </c>
      <c r="N176" s="5">
        <f>+M176*1.3</f>
        <v>72095.400000000009</v>
      </c>
      <c r="O176" s="2">
        <f>+N176-M176</f>
        <v>16637.400000000009</v>
      </c>
    </row>
    <row r="177" spans="1:15" x14ac:dyDescent="0.2">
      <c r="A177" t="s">
        <v>21</v>
      </c>
      <c r="B177">
        <v>1</v>
      </c>
      <c r="C177" t="s">
        <v>14</v>
      </c>
      <c r="D177" t="s">
        <v>85</v>
      </c>
      <c r="E177" t="s">
        <v>16</v>
      </c>
      <c r="F177" t="s">
        <v>16</v>
      </c>
      <c r="G177">
        <v>5</v>
      </c>
      <c r="H177" t="s">
        <v>256</v>
      </c>
      <c r="I177" t="s">
        <v>257</v>
      </c>
      <c r="J177" t="s">
        <v>32</v>
      </c>
      <c r="K177" t="s">
        <v>27</v>
      </c>
      <c r="L177">
        <v>4</v>
      </c>
      <c r="M177" s="5">
        <v>55458</v>
      </c>
      <c r="N177" s="5">
        <f>+M177*1.3</f>
        <v>72095.400000000009</v>
      </c>
      <c r="O177" s="2">
        <f>+N177-M177</f>
        <v>16637.400000000009</v>
      </c>
    </row>
    <row r="178" spans="1:15" x14ac:dyDescent="0.2">
      <c r="A178" t="s">
        <v>13</v>
      </c>
      <c r="B178">
        <v>3</v>
      </c>
      <c r="C178" t="s">
        <v>126</v>
      </c>
      <c r="D178" t="s">
        <v>127</v>
      </c>
      <c r="E178" t="s">
        <v>16</v>
      </c>
      <c r="F178" t="s">
        <v>16</v>
      </c>
      <c r="G178">
        <v>1</v>
      </c>
      <c r="H178" t="s">
        <v>258</v>
      </c>
      <c r="I178" t="s">
        <v>259</v>
      </c>
      <c r="J178" t="s">
        <v>260</v>
      </c>
      <c r="K178" t="s">
        <v>50</v>
      </c>
      <c r="L178">
        <v>1</v>
      </c>
      <c r="M178" s="5">
        <v>59926</v>
      </c>
      <c r="N178" s="5">
        <f>+M178*1.3</f>
        <v>77903.8</v>
      </c>
      <c r="O178" s="2">
        <f>+N178-M178</f>
        <v>17977.800000000003</v>
      </c>
    </row>
    <row r="179" spans="1:15" x14ac:dyDescent="0.2">
      <c r="A179" t="s">
        <v>21</v>
      </c>
      <c r="B179">
        <v>2</v>
      </c>
      <c r="C179" t="s">
        <v>126</v>
      </c>
      <c r="D179" t="s">
        <v>127</v>
      </c>
      <c r="E179" t="s">
        <v>16</v>
      </c>
      <c r="F179" t="s">
        <v>16</v>
      </c>
      <c r="G179">
        <v>1</v>
      </c>
      <c r="H179" t="s">
        <v>258</v>
      </c>
      <c r="I179" t="s">
        <v>259</v>
      </c>
      <c r="J179" t="s">
        <v>260</v>
      </c>
      <c r="K179" t="s">
        <v>50</v>
      </c>
      <c r="L179">
        <v>1</v>
      </c>
      <c r="M179" s="5">
        <v>59926</v>
      </c>
      <c r="N179" s="5">
        <f>+M179*1.3</f>
        <v>77903.8</v>
      </c>
      <c r="O179" s="2">
        <f>+N179-M179</f>
        <v>17977.800000000003</v>
      </c>
    </row>
    <row r="180" spans="1:15" x14ac:dyDescent="0.2">
      <c r="A180" t="s">
        <v>28</v>
      </c>
      <c r="B180">
        <v>1</v>
      </c>
      <c r="C180" t="s">
        <v>126</v>
      </c>
      <c r="D180" t="s">
        <v>127</v>
      </c>
      <c r="E180" t="s">
        <v>16</v>
      </c>
      <c r="F180" t="s">
        <v>16</v>
      </c>
      <c r="G180">
        <v>1</v>
      </c>
      <c r="H180" t="s">
        <v>258</v>
      </c>
      <c r="I180" t="s">
        <v>259</v>
      </c>
      <c r="J180" t="s">
        <v>260</v>
      </c>
      <c r="K180" t="s">
        <v>50</v>
      </c>
      <c r="L180">
        <v>1</v>
      </c>
      <c r="M180" s="5">
        <v>59926</v>
      </c>
      <c r="N180" s="5">
        <f>+M180*1.3</f>
        <v>77903.8</v>
      </c>
      <c r="O180" s="2">
        <f>+N180-M180</f>
        <v>17977.800000000003</v>
      </c>
    </row>
    <row r="181" spans="1:15" x14ac:dyDescent="0.2">
      <c r="A181" t="s">
        <v>88</v>
      </c>
      <c r="B181">
        <v>1</v>
      </c>
      <c r="C181" t="s">
        <v>14</v>
      </c>
      <c r="D181" t="s">
        <v>89</v>
      </c>
      <c r="E181" t="s">
        <v>16</v>
      </c>
      <c r="F181" t="s">
        <v>16</v>
      </c>
      <c r="G181">
        <v>28</v>
      </c>
      <c r="H181" t="s">
        <v>261</v>
      </c>
      <c r="I181" t="s">
        <v>262</v>
      </c>
      <c r="J181" t="s">
        <v>26</v>
      </c>
      <c r="K181" t="s">
        <v>27</v>
      </c>
      <c r="L181">
        <v>6</v>
      </c>
      <c r="M181" s="5">
        <v>67493</v>
      </c>
      <c r="N181" s="5">
        <f>+M181*1.3</f>
        <v>87740.900000000009</v>
      </c>
      <c r="O181" s="2">
        <f>+N181-M181</f>
        <v>20247.900000000009</v>
      </c>
    </row>
    <row r="182" spans="1:15" x14ac:dyDescent="0.2">
      <c r="A182" t="s">
        <v>88</v>
      </c>
      <c r="B182">
        <v>1</v>
      </c>
      <c r="C182" t="s">
        <v>161</v>
      </c>
      <c r="D182" t="s">
        <v>89</v>
      </c>
      <c r="E182" t="s">
        <v>16</v>
      </c>
      <c r="F182" t="s">
        <v>16</v>
      </c>
      <c r="G182">
        <v>70</v>
      </c>
      <c r="H182" t="s">
        <v>263</v>
      </c>
      <c r="I182" t="s">
        <v>264</v>
      </c>
      <c r="J182" t="s">
        <v>152</v>
      </c>
      <c r="K182" t="s">
        <v>40</v>
      </c>
      <c r="L182">
        <v>12</v>
      </c>
      <c r="M182" s="5">
        <v>34874</v>
      </c>
      <c r="N182" s="5">
        <f>+M182*1.3</f>
        <v>45336.200000000004</v>
      </c>
      <c r="O182" s="2">
        <f>+N182-M182</f>
        <v>10462.200000000004</v>
      </c>
    </row>
    <row r="183" spans="1:15" x14ac:dyDescent="0.2">
      <c r="A183" t="s">
        <v>88</v>
      </c>
      <c r="B183">
        <v>1</v>
      </c>
      <c r="C183" t="s">
        <v>94</v>
      </c>
      <c r="D183" t="s">
        <v>89</v>
      </c>
      <c r="E183" t="s">
        <v>16</v>
      </c>
      <c r="F183" t="s">
        <v>16</v>
      </c>
      <c r="G183">
        <v>8</v>
      </c>
      <c r="H183" t="s">
        <v>265</v>
      </c>
      <c r="I183" t="s">
        <v>266</v>
      </c>
      <c r="J183" t="s">
        <v>26</v>
      </c>
      <c r="K183" t="s">
        <v>27</v>
      </c>
      <c r="L183">
        <v>6</v>
      </c>
      <c r="M183" s="5">
        <v>35821</v>
      </c>
      <c r="N183" s="5">
        <f>+M183*1.3</f>
        <v>46567.3</v>
      </c>
      <c r="O183" s="2">
        <f>+N183-M183</f>
        <v>10746.300000000003</v>
      </c>
    </row>
    <row r="184" spans="1:15" x14ac:dyDescent="0.2">
      <c r="A184" t="s">
        <v>88</v>
      </c>
      <c r="B184">
        <v>2</v>
      </c>
      <c r="C184" t="s">
        <v>14</v>
      </c>
      <c r="D184" t="s">
        <v>89</v>
      </c>
      <c r="E184" t="s">
        <v>16</v>
      </c>
      <c r="F184" t="s">
        <v>16</v>
      </c>
      <c r="G184">
        <v>16</v>
      </c>
      <c r="H184" t="s">
        <v>267</v>
      </c>
      <c r="I184" t="s">
        <v>268</v>
      </c>
      <c r="J184" t="s">
        <v>70</v>
      </c>
      <c r="K184" t="s">
        <v>50</v>
      </c>
      <c r="L184">
        <v>1</v>
      </c>
      <c r="M184" s="5">
        <v>59338</v>
      </c>
      <c r="N184" s="5">
        <f>+M184*1.3</f>
        <v>77139.400000000009</v>
      </c>
      <c r="O184" s="2">
        <f>+N184-M184</f>
        <v>17801.400000000009</v>
      </c>
    </row>
    <row r="185" spans="1:15" x14ac:dyDescent="0.2">
      <c r="A185" t="s">
        <v>13</v>
      </c>
      <c r="B185">
        <v>1</v>
      </c>
      <c r="C185" t="s">
        <v>126</v>
      </c>
      <c r="D185" t="s">
        <v>127</v>
      </c>
      <c r="E185" t="s">
        <v>16</v>
      </c>
      <c r="F185" t="s">
        <v>16</v>
      </c>
      <c r="G185">
        <v>5</v>
      </c>
      <c r="H185" t="s">
        <v>269</v>
      </c>
      <c r="I185" t="s">
        <v>270</v>
      </c>
      <c r="J185" t="s">
        <v>271</v>
      </c>
      <c r="K185" t="s">
        <v>181</v>
      </c>
      <c r="L185">
        <v>12</v>
      </c>
      <c r="M185" s="5">
        <v>25414</v>
      </c>
      <c r="N185" s="5">
        <f>+M185*1.3</f>
        <v>33038.200000000004</v>
      </c>
      <c r="O185" s="2">
        <f>+N185-M185</f>
        <v>7624.2000000000044</v>
      </c>
    </row>
    <row r="186" spans="1:15" x14ac:dyDescent="0.2">
      <c r="A186" t="s">
        <v>21</v>
      </c>
      <c r="B186">
        <v>1</v>
      </c>
      <c r="C186" t="s">
        <v>126</v>
      </c>
      <c r="D186" t="s">
        <v>127</v>
      </c>
      <c r="E186" t="s">
        <v>16</v>
      </c>
      <c r="F186" t="s">
        <v>16</v>
      </c>
      <c r="G186">
        <v>5</v>
      </c>
      <c r="H186" t="s">
        <v>269</v>
      </c>
      <c r="I186" t="s">
        <v>270</v>
      </c>
      <c r="J186" t="s">
        <v>271</v>
      </c>
      <c r="K186" t="s">
        <v>181</v>
      </c>
      <c r="L186">
        <v>12</v>
      </c>
      <c r="M186" s="5">
        <v>25414</v>
      </c>
      <c r="N186" s="5">
        <f>+M186*1.3</f>
        <v>33038.200000000004</v>
      </c>
      <c r="O186" s="2">
        <f>+N186-M186</f>
        <v>7624.2000000000044</v>
      </c>
    </row>
    <row r="187" spans="1:15" x14ac:dyDescent="0.2">
      <c r="A187" t="s">
        <v>28</v>
      </c>
      <c r="B187">
        <v>3</v>
      </c>
      <c r="C187" t="s">
        <v>126</v>
      </c>
      <c r="D187" t="s">
        <v>127</v>
      </c>
      <c r="E187" t="s">
        <v>16</v>
      </c>
      <c r="F187" t="s">
        <v>16</v>
      </c>
      <c r="G187">
        <v>5</v>
      </c>
      <c r="H187" t="s">
        <v>269</v>
      </c>
      <c r="I187" t="s">
        <v>270</v>
      </c>
      <c r="J187" t="s">
        <v>271</v>
      </c>
      <c r="K187" t="s">
        <v>181</v>
      </c>
      <c r="L187">
        <v>12</v>
      </c>
      <c r="M187" s="5">
        <v>25414</v>
      </c>
      <c r="N187" s="5">
        <f>+M187*1.3</f>
        <v>33038.200000000004</v>
      </c>
      <c r="O187" s="2">
        <f>+N187-M187</f>
        <v>7624.2000000000044</v>
      </c>
    </row>
    <row r="188" spans="1:15" x14ac:dyDescent="0.2">
      <c r="A188" t="s">
        <v>88</v>
      </c>
      <c r="B188">
        <v>1</v>
      </c>
      <c r="C188" t="s">
        <v>161</v>
      </c>
      <c r="D188" t="s">
        <v>89</v>
      </c>
      <c r="E188" t="s">
        <v>16</v>
      </c>
      <c r="F188" t="s">
        <v>16</v>
      </c>
      <c r="G188">
        <v>25</v>
      </c>
      <c r="H188" t="s">
        <v>272</v>
      </c>
      <c r="I188" t="s">
        <v>273</v>
      </c>
      <c r="J188" t="s">
        <v>175</v>
      </c>
      <c r="K188" t="s">
        <v>98</v>
      </c>
      <c r="L188">
        <v>12</v>
      </c>
      <c r="M188" s="5">
        <v>27435</v>
      </c>
      <c r="N188" s="5">
        <f>+M188*1.3</f>
        <v>35665.5</v>
      </c>
      <c r="O188" s="2">
        <f>+N188-M188</f>
        <v>8230.5</v>
      </c>
    </row>
    <row r="189" spans="1:15" x14ac:dyDescent="0.2">
      <c r="A189" t="s">
        <v>35</v>
      </c>
      <c r="B189">
        <v>1</v>
      </c>
      <c r="C189" t="s">
        <v>14</v>
      </c>
      <c r="D189" t="s">
        <v>36</v>
      </c>
      <c r="E189" t="s">
        <v>16</v>
      </c>
      <c r="F189" t="s">
        <v>16</v>
      </c>
      <c r="G189">
        <v>3</v>
      </c>
      <c r="H189" t="s">
        <v>274</v>
      </c>
      <c r="I189" t="s">
        <v>275</v>
      </c>
      <c r="J189" t="s">
        <v>49</v>
      </c>
      <c r="K189" t="s">
        <v>50</v>
      </c>
      <c r="L189">
        <v>1</v>
      </c>
      <c r="M189" s="5">
        <v>55432</v>
      </c>
      <c r="N189" s="5">
        <f>+M189*1.3</f>
        <v>72061.600000000006</v>
      </c>
      <c r="O189" s="2">
        <f>+N189-M189</f>
        <v>16629.600000000006</v>
      </c>
    </row>
    <row r="190" spans="1:15" x14ac:dyDescent="0.2">
      <c r="A190" t="s">
        <v>41</v>
      </c>
      <c r="B190">
        <v>1</v>
      </c>
      <c r="C190" t="s">
        <v>14</v>
      </c>
      <c r="D190" t="s">
        <v>36</v>
      </c>
      <c r="E190" t="s">
        <v>16</v>
      </c>
      <c r="F190" t="s">
        <v>16</v>
      </c>
      <c r="G190">
        <v>3</v>
      </c>
      <c r="H190" t="s">
        <v>274</v>
      </c>
      <c r="I190" t="s">
        <v>275</v>
      </c>
      <c r="J190" t="s">
        <v>49</v>
      </c>
      <c r="K190" t="s">
        <v>50</v>
      </c>
      <c r="L190">
        <v>1</v>
      </c>
      <c r="M190" s="5">
        <v>55432</v>
      </c>
      <c r="N190" s="5">
        <f>+M190*1.3</f>
        <v>72061.600000000006</v>
      </c>
      <c r="O190" s="2">
        <f>+N190-M190</f>
        <v>16629.600000000006</v>
      </c>
    </row>
    <row r="191" spans="1:15" x14ac:dyDescent="0.2">
      <c r="A191" t="s">
        <v>21</v>
      </c>
      <c r="B191">
        <v>2</v>
      </c>
      <c r="C191" t="s">
        <v>14</v>
      </c>
      <c r="D191" t="s">
        <v>36</v>
      </c>
      <c r="E191" t="s">
        <v>16</v>
      </c>
      <c r="F191" t="s">
        <v>16</v>
      </c>
      <c r="G191">
        <v>3</v>
      </c>
      <c r="H191" t="s">
        <v>274</v>
      </c>
      <c r="I191" t="s">
        <v>275</v>
      </c>
      <c r="J191" t="s">
        <v>49</v>
      </c>
      <c r="K191" t="s">
        <v>50</v>
      </c>
      <c r="L191">
        <v>1</v>
      </c>
      <c r="M191" s="5">
        <v>55432</v>
      </c>
      <c r="N191" s="5">
        <f>+M191*1.3</f>
        <v>72061.600000000006</v>
      </c>
      <c r="O191" s="2">
        <f>+N191-M191</f>
        <v>16629.600000000006</v>
      </c>
    </row>
    <row r="192" spans="1:15" x14ac:dyDescent="0.2">
      <c r="A192" t="s">
        <v>28</v>
      </c>
      <c r="B192">
        <v>1</v>
      </c>
      <c r="C192" t="s">
        <v>14</v>
      </c>
      <c r="D192" t="s">
        <v>36</v>
      </c>
      <c r="E192" t="s">
        <v>16</v>
      </c>
      <c r="F192" t="s">
        <v>16</v>
      </c>
      <c r="G192">
        <v>3</v>
      </c>
      <c r="H192" t="s">
        <v>274</v>
      </c>
      <c r="I192" t="s">
        <v>275</v>
      </c>
      <c r="J192" t="s">
        <v>49</v>
      </c>
      <c r="K192" t="s">
        <v>50</v>
      </c>
      <c r="L192">
        <v>1</v>
      </c>
      <c r="M192" s="5">
        <v>55432</v>
      </c>
      <c r="N192" s="5">
        <f>+M192*1.3</f>
        <v>72061.600000000006</v>
      </c>
      <c r="O192" s="2">
        <f>+N192-M192</f>
        <v>16629.600000000006</v>
      </c>
    </row>
    <row r="193" spans="1:15" x14ac:dyDescent="0.2">
      <c r="A193" t="s">
        <v>13</v>
      </c>
      <c r="B193">
        <v>1</v>
      </c>
      <c r="C193" t="s">
        <v>126</v>
      </c>
      <c r="D193" t="s">
        <v>127</v>
      </c>
      <c r="E193" t="s">
        <v>16</v>
      </c>
      <c r="F193" t="s">
        <v>16</v>
      </c>
      <c r="G193">
        <v>4</v>
      </c>
      <c r="H193" t="s">
        <v>276</v>
      </c>
      <c r="I193" t="s">
        <v>277</v>
      </c>
      <c r="J193" t="s">
        <v>271</v>
      </c>
      <c r="K193" t="s">
        <v>181</v>
      </c>
      <c r="L193">
        <v>24</v>
      </c>
      <c r="M193" s="5">
        <v>48670</v>
      </c>
      <c r="N193" s="5">
        <f>+M193*1.3</f>
        <v>63271</v>
      </c>
      <c r="O193" s="2">
        <f>+N193-M193</f>
        <v>14601</v>
      </c>
    </row>
    <row r="194" spans="1:15" x14ac:dyDescent="0.2">
      <c r="A194" t="s">
        <v>21</v>
      </c>
      <c r="B194">
        <v>1</v>
      </c>
      <c r="C194" t="s">
        <v>126</v>
      </c>
      <c r="D194" t="s">
        <v>127</v>
      </c>
      <c r="E194" t="s">
        <v>16</v>
      </c>
      <c r="F194" t="s">
        <v>16</v>
      </c>
      <c r="G194">
        <v>4</v>
      </c>
      <c r="H194" t="s">
        <v>276</v>
      </c>
      <c r="I194" t="s">
        <v>277</v>
      </c>
      <c r="J194" t="s">
        <v>271</v>
      </c>
      <c r="K194" t="s">
        <v>181</v>
      </c>
      <c r="L194">
        <v>24</v>
      </c>
      <c r="M194" s="5">
        <v>48670</v>
      </c>
      <c r="N194" s="5">
        <f>+M194*1.3</f>
        <v>63271</v>
      </c>
      <c r="O194" s="2">
        <f>+N194-M194</f>
        <v>14601</v>
      </c>
    </row>
    <row r="195" spans="1:15" x14ac:dyDescent="0.2">
      <c r="A195" t="s">
        <v>28</v>
      </c>
      <c r="B195">
        <v>3</v>
      </c>
      <c r="C195" t="s">
        <v>126</v>
      </c>
      <c r="D195" t="s">
        <v>127</v>
      </c>
      <c r="E195" t="s">
        <v>16</v>
      </c>
      <c r="F195" t="s">
        <v>16</v>
      </c>
      <c r="G195">
        <v>4</v>
      </c>
      <c r="H195" t="s">
        <v>276</v>
      </c>
      <c r="I195" t="s">
        <v>277</v>
      </c>
      <c r="J195" t="s">
        <v>271</v>
      </c>
      <c r="K195" t="s">
        <v>181</v>
      </c>
      <c r="L195">
        <v>24</v>
      </c>
      <c r="M195" s="5">
        <v>48670</v>
      </c>
      <c r="N195" s="5">
        <f>+M195*1.3</f>
        <v>63271</v>
      </c>
      <c r="O195" s="2">
        <f>+N195-M195</f>
        <v>14601</v>
      </c>
    </row>
    <row r="196" spans="1:15" x14ac:dyDescent="0.2">
      <c r="A196" t="s">
        <v>13</v>
      </c>
      <c r="B196">
        <v>1</v>
      </c>
      <c r="C196" t="s">
        <v>14</v>
      </c>
      <c r="D196" t="s">
        <v>15</v>
      </c>
      <c r="E196" t="s">
        <v>16</v>
      </c>
      <c r="F196" t="s">
        <v>16</v>
      </c>
      <c r="G196">
        <v>8</v>
      </c>
      <c r="H196" t="s">
        <v>278</v>
      </c>
      <c r="I196" t="s">
        <v>279</v>
      </c>
      <c r="J196" t="s">
        <v>39</v>
      </c>
      <c r="K196" t="s">
        <v>40</v>
      </c>
      <c r="L196">
        <v>12</v>
      </c>
      <c r="M196" s="5">
        <v>47180</v>
      </c>
      <c r="N196" s="5">
        <f>+M196*1.3</f>
        <v>61334</v>
      </c>
      <c r="O196" s="2">
        <f>+N196-M196</f>
        <v>14154</v>
      </c>
    </row>
    <row r="197" spans="1:15" x14ac:dyDescent="0.2">
      <c r="A197" t="s">
        <v>21</v>
      </c>
      <c r="B197">
        <v>1</v>
      </c>
      <c r="C197" t="s">
        <v>14</v>
      </c>
      <c r="D197" t="s">
        <v>15</v>
      </c>
      <c r="E197" t="s">
        <v>16</v>
      </c>
      <c r="F197" t="s">
        <v>16</v>
      </c>
      <c r="G197">
        <v>8</v>
      </c>
      <c r="H197" t="s">
        <v>278</v>
      </c>
      <c r="I197" t="s">
        <v>279</v>
      </c>
      <c r="J197" t="s">
        <v>39</v>
      </c>
      <c r="K197" t="s">
        <v>40</v>
      </c>
      <c r="L197">
        <v>12</v>
      </c>
      <c r="M197" s="5">
        <v>47180</v>
      </c>
      <c r="N197" s="5">
        <f>+M197*1.3</f>
        <v>61334</v>
      </c>
      <c r="O197" s="2">
        <f>+N197-M197</f>
        <v>14154</v>
      </c>
    </row>
    <row r="198" spans="1:15" x14ac:dyDescent="0.2">
      <c r="A198" t="s">
        <v>88</v>
      </c>
      <c r="B198">
        <v>2</v>
      </c>
      <c r="C198" t="s">
        <v>14</v>
      </c>
      <c r="D198" t="s">
        <v>89</v>
      </c>
      <c r="E198" t="s">
        <v>16</v>
      </c>
      <c r="F198" t="s">
        <v>16</v>
      </c>
      <c r="G198">
        <v>18</v>
      </c>
      <c r="H198" t="s">
        <v>280</v>
      </c>
      <c r="I198" t="s">
        <v>281</v>
      </c>
      <c r="J198" t="s">
        <v>70</v>
      </c>
      <c r="K198" t="s">
        <v>50</v>
      </c>
      <c r="L198">
        <v>1</v>
      </c>
      <c r="M198" s="5">
        <v>70046</v>
      </c>
      <c r="N198" s="5">
        <f>+M198*1.3</f>
        <v>91059.8</v>
      </c>
      <c r="O198" s="2">
        <f>+N198-M198</f>
        <v>21013.800000000003</v>
      </c>
    </row>
    <row r="199" spans="1:15" x14ac:dyDescent="0.2">
      <c r="A199" t="s">
        <v>13</v>
      </c>
      <c r="B199">
        <v>2</v>
      </c>
      <c r="C199" t="s">
        <v>14</v>
      </c>
      <c r="D199" t="s">
        <v>29</v>
      </c>
      <c r="E199" t="s">
        <v>16</v>
      </c>
      <c r="F199" t="s">
        <v>16</v>
      </c>
      <c r="G199">
        <v>5</v>
      </c>
      <c r="H199" t="s">
        <v>282</v>
      </c>
      <c r="I199" t="s">
        <v>283</v>
      </c>
      <c r="J199" t="s">
        <v>32</v>
      </c>
      <c r="K199" t="s">
        <v>27</v>
      </c>
      <c r="L199">
        <v>4</v>
      </c>
      <c r="M199" s="5">
        <v>61769</v>
      </c>
      <c r="N199" s="5">
        <f>+M199*1.3</f>
        <v>80299.7</v>
      </c>
      <c r="O199" s="2">
        <f>+N199-M199</f>
        <v>18530.699999999997</v>
      </c>
    </row>
    <row r="200" spans="1:15" x14ac:dyDescent="0.2">
      <c r="A200" t="s">
        <v>21</v>
      </c>
      <c r="B200">
        <v>1</v>
      </c>
      <c r="C200" t="s">
        <v>14</v>
      </c>
      <c r="D200" t="s">
        <v>29</v>
      </c>
      <c r="E200" t="s">
        <v>16</v>
      </c>
      <c r="F200" t="s">
        <v>16</v>
      </c>
      <c r="G200">
        <v>5</v>
      </c>
      <c r="H200" t="s">
        <v>282</v>
      </c>
      <c r="I200" t="s">
        <v>283</v>
      </c>
      <c r="J200" t="s">
        <v>32</v>
      </c>
      <c r="K200" t="s">
        <v>27</v>
      </c>
      <c r="L200">
        <v>4</v>
      </c>
      <c r="M200" s="5">
        <v>61769</v>
      </c>
      <c r="N200" s="5">
        <f>+M200*1.3</f>
        <v>80299.7</v>
      </c>
      <c r="O200" s="2">
        <f>+N200-M200</f>
        <v>18530.699999999997</v>
      </c>
    </row>
    <row r="201" spans="1:15" x14ac:dyDescent="0.2">
      <c r="A201" t="s">
        <v>88</v>
      </c>
      <c r="B201">
        <v>2</v>
      </c>
      <c r="C201" t="s">
        <v>14</v>
      </c>
      <c r="D201" t="s">
        <v>89</v>
      </c>
      <c r="E201" t="s">
        <v>16</v>
      </c>
      <c r="F201" t="s">
        <v>16</v>
      </c>
      <c r="G201">
        <v>15</v>
      </c>
      <c r="H201" t="s">
        <v>284</v>
      </c>
      <c r="I201" t="s">
        <v>285</v>
      </c>
      <c r="J201" t="s">
        <v>49</v>
      </c>
      <c r="K201" t="s">
        <v>50</v>
      </c>
      <c r="L201">
        <v>1</v>
      </c>
      <c r="M201" s="5">
        <v>56439</v>
      </c>
      <c r="N201" s="5">
        <f>+M201*1.3</f>
        <v>73370.7</v>
      </c>
      <c r="O201" s="2">
        <f>+N201-M201</f>
        <v>16931.699999999997</v>
      </c>
    </row>
    <row r="202" spans="1:15" x14ac:dyDescent="0.2">
      <c r="A202" t="s">
        <v>88</v>
      </c>
      <c r="B202">
        <v>1</v>
      </c>
      <c r="C202" t="s">
        <v>14</v>
      </c>
      <c r="D202" t="s">
        <v>89</v>
      </c>
      <c r="E202" t="s">
        <v>16</v>
      </c>
      <c r="F202" t="s">
        <v>16</v>
      </c>
      <c r="G202">
        <v>38</v>
      </c>
      <c r="H202" t="s">
        <v>286</v>
      </c>
      <c r="I202" t="s">
        <v>287</v>
      </c>
      <c r="J202" t="s">
        <v>32</v>
      </c>
      <c r="K202" t="s">
        <v>27</v>
      </c>
      <c r="L202">
        <v>4</v>
      </c>
      <c r="M202" s="5">
        <v>54719</v>
      </c>
      <c r="N202" s="5">
        <f>+M202*1.3</f>
        <v>71134.7</v>
      </c>
      <c r="O202" s="2">
        <f>+N202-M202</f>
        <v>16415.699999999997</v>
      </c>
    </row>
    <row r="203" spans="1:15" x14ac:dyDescent="0.2">
      <c r="A203" t="s">
        <v>13</v>
      </c>
      <c r="B203">
        <v>1</v>
      </c>
      <c r="C203" t="s">
        <v>126</v>
      </c>
      <c r="D203" t="s">
        <v>127</v>
      </c>
      <c r="E203" t="s">
        <v>16</v>
      </c>
      <c r="F203" t="s">
        <v>16</v>
      </c>
      <c r="G203">
        <v>7</v>
      </c>
      <c r="H203" t="s">
        <v>288</v>
      </c>
      <c r="I203" t="s">
        <v>289</v>
      </c>
      <c r="J203" t="s">
        <v>271</v>
      </c>
      <c r="K203" t="s">
        <v>181</v>
      </c>
      <c r="L203">
        <v>12</v>
      </c>
      <c r="M203" s="5">
        <v>44994</v>
      </c>
      <c r="N203" s="5">
        <f>+M203*1.3</f>
        <v>58492.200000000004</v>
      </c>
      <c r="O203" s="2">
        <f>+N203-M203</f>
        <v>13498.200000000004</v>
      </c>
    </row>
    <row r="204" spans="1:15" x14ac:dyDescent="0.2">
      <c r="A204" t="s">
        <v>21</v>
      </c>
      <c r="B204">
        <v>1</v>
      </c>
      <c r="C204" t="s">
        <v>126</v>
      </c>
      <c r="D204" t="s">
        <v>127</v>
      </c>
      <c r="E204" t="s">
        <v>16</v>
      </c>
      <c r="F204" t="s">
        <v>16</v>
      </c>
      <c r="G204">
        <v>7</v>
      </c>
      <c r="H204" t="s">
        <v>288</v>
      </c>
      <c r="I204" t="s">
        <v>289</v>
      </c>
      <c r="J204" t="s">
        <v>271</v>
      </c>
      <c r="K204" t="s">
        <v>181</v>
      </c>
      <c r="L204">
        <v>12</v>
      </c>
      <c r="M204" s="5">
        <v>44994</v>
      </c>
      <c r="N204" s="5">
        <f>+M204*1.3</f>
        <v>58492.200000000004</v>
      </c>
      <c r="O204" s="2">
        <f>+N204-M204</f>
        <v>13498.200000000004</v>
      </c>
    </row>
    <row r="205" spans="1:15" x14ac:dyDescent="0.2">
      <c r="A205" t="s">
        <v>28</v>
      </c>
      <c r="B205">
        <v>3</v>
      </c>
      <c r="C205" t="s">
        <v>126</v>
      </c>
      <c r="D205" t="s">
        <v>127</v>
      </c>
      <c r="E205" t="s">
        <v>16</v>
      </c>
      <c r="F205" t="s">
        <v>16</v>
      </c>
      <c r="G205">
        <v>7</v>
      </c>
      <c r="H205" t="s">
        <v>288</v>
      </c>
      <c r="I205" t="s">
        <v>289</v>
      </c>
      <c r="J205" t="s">
        <v>271</v>
      </c>
      <c r="K205" t="s">
        <v>181</v>
      </c>
      <c r="L205">
        <v>12</v>
      </c>
      <c r="M205" s="5">
        <v>44994</v>
      </c>
      <c r="N205" s="5">
        <f>+M205*1.3</f>
        <v>58492.200000000004</v>
      </c>
      <c r="O205" s="2">
        <f>+N205-M205</f>
        <v>13498.200000000004</v>
      </c>
    </row>
    <row r="206" spans="1:15" x14ac:dyDescent="0.2">
      <c r="A206" t="s">
        <v>88</v>
      </c>
      <c r="B206">
        <v>1</v>
      </c>
      <c r="C206" t="s">
        <v>94</v>
      </c>
      <c r="D206" t="s">
        <v>89</v>
      </c>
      <c r="E206" t="s">
        <v>16</v>
      </c>
      <c r="F206" t="s">
        <v>16</v>
      </c>
      <c r="G206">
        <v>13</v>
      </c>
      <c r="H206" t="s">
        <v>290</v>
      </c>
      <c r="I206" t="s">
        <v>291</v>
      </c>
      <c r="J206" t="s">
        <v>26</v>
      </c>
      <c r="K206" t="s">
        <v>27</v>
      </c>
      <c r="L206">
        <v>6</v>
      </c>
      <c r="M206" s="5">
        <v>47802</v>
      </c>
      <c r="N206" s="5">
        <f>+M206*1.3</f>
        <v>62142.6</v>
      </c>
      <c r="O206" s="2">
        <f>+N206-M206</f>
        <v>14340.599999999999</v>
      </c>
    </row>
    <row r="207" spans="1:15" x14ac:dyDescent="0.2">
      <c r="A207" t="s">
        <v>88</v>
      </c>
      <c r="B207">
        <v>1</v>
      </c>
      <c r="C207" t="s">
        <v>14</v>
      </c>
      <c r="D207" t="s">
        <v>89</v>
      </c>
      <c r="E207" t="s">
        <v>16</v>
      </c>
      <c r="F207" t="s">
        <v>16</v>
      </c>
      <c r="G207">
        <v>99</v>
      </c>
      <c r="H207" t="s">
        <v>292</v>
      </c>
      <c r="I207" t="s">
        <v>293</v>
      </c>
      <c r="J207" t="s">
        <v>39</v>
      </c>
      <c r="K207" t="s">
        <v>40</v>
      </c>
      <c r="L207">
        <v>12</v>
      </c>
      <c r="M207" s="5">
        <v>71776</v>
      </c>
      <c r="N207" s="5">
        <f>+M207*1.3</f>
        <v>93308.800000000003</v>
      </c>
      <c r="O207" s="2">
        <f>+N207-M207</f>
        <v>21532.800000000003</v>
      </c>
    </row>
    <row r="208" spans="1:15" x14ac:dyDescent="0.2">
      <c r="A208" t="s">
        <v>13</v>
      </c>
      <c r="B208">
        <v>1</v>
      </c>
      <c r="C208" t="s">
        <v>14</v>
      </c>
      <c r="D208" t="s">
        <v>85</v>
      </c>
      <c r="E208" t="s">
        <v>16</v>
      </c>
      <c r="F208" t="s">
        <v>16</v>
      </c>
      <c r="G208">
        <v>1</v>
      </c>
      <c r="H208" t="s">
        <v>294</v>
      </c>
      <c r="I208" t="s">
        <v>295</v>
      </c>
      <c r="J208" t="s">
        <v>26</v>
      </c>
      <c r="K208" t="s">
        <v>57</v>
      </c>
      <c r="L208">
        <v>1</v>
      </c>
      <c r="M208" s="5">
        <v>527573</v>
      </c>
      <c r="N208" s="5">
        <f>+M208*1.3</f>
        <v>685844.9</v>
      </c>
      <c r="O208" s="2">
        <f>+N208-M208</f>
        <v>158271.90000000002</v>
      </c>
    </row>
    <row r="209" spans="1:15" x14ac:dyDescent="0.2">
      <c r="A209" t="s">
        <v>21</v>
      </c>
      <c r="B209">
        <v>3</v>
      </c>
      <c r="C209" t="s">
        <v>14</v>
      </c>
      <c r="D209" t="s">
        <v>85</v>
      </c>
      <c r="E209" t="s">
        <v>16</v>
      </c>
      <c r="F209" t="s">
        <v>16</v>
      </c>
      <c r="G209">
        <v>1</v>
      </c>
      <c r="H209" t="s">
        <v>294</v>
      </c>
      <c r="I209" t="s">
        <v>295</v>
      </c>
      <c r="J209" t="s">
        <v>26</v>
      </c>
      <c r="K209" t="s">
        <v>57</v>
      </c>
      <c r="L209">
        <v>1</v>
      </c>
      <c r="M209" s="5">
        <v>527573</v>
      </c>
      <c r="N209" s="5">
        <f>+M209*1.3</f>
        <v>685844.9</v>
      </c>
      <c r="O209" s="2">
        <f>+N209-M209</f>
        <v>158271.90000000002</v>
      </c>
    </row>
    <row r="210" spans="1:15" x14ac:dyDescent="0.2">
      <c r="A210" t="s">
        <v>88</v>
      </c>
      <c r="B210">
        <v>1</v>
      </c>
      <c r="C210" t="s">
        <v>94</v>
      </c>
      <c r="D210" t="s">
        <v>89</v>
      </c>
      <c r="E210" t="s">
        <v>16</v>
      </c>
      <c r="F210" t="s">
        <v>16</v>
      </c>
      <c r="G210">
        <v>26</v>
      </c>
      <c r="H210" t="s">
        <v>296</v>
      </c>
      <c r="I210" t="s">
        <v>297</v>
      </c>
      <c r="J210" t="s">
        <v>97</v>
      </c>
      <c r="K210" t="s">
        <v>98</v>
      </c>
      <c r="L210">
        <v>12</v>
      </c>
      <c r="M210" s="5">
        <v>27522</v>
      </c>
      <c r="N210" s="5">
        <f>+M210*1.3</f>
        <v>35778.6</v>
      </c>
      <c r="O210" s="2">
        <f>+N210-M210</f>
        <v>8256.5999999999985</v>
      </c>
    </row>
    <row r="211" spans="1:15" x14ac:dyDescent="0.2">
      <c r="A211" t="s">
        <v>28</v>
      </c>
      <c r="B211">
        <v>1</v>
      </c>
      <c r="C211" t="s">
        <v>126</v>
      </c>
      <c r="D211" t="s">
        <v>130</v>
      </c>
      <c r="E211" t="s">
        <v>16</v>
      </c>
      <c r="F211" t="s">
        <v>16</v>
      </c>
      <c r="G211">
        <v>4</v>
      </c>
      <c r="H211" t="s">
        <v>298</v>
      </c>
      <c r="I211" t="s">
        <v>132</v>
      </c>
      <c r="J211" t="s">
        <v>103</v>
      </c>
      <c r="K211" t="s">
        <v>50</v>
      </c>
      <c r="L211">
        <v>1</v>
      </c>
      <c r="M211" s="5">
        <v>57998</v>
      </c>
      <c r="N211" s="5">
        <f>+M211*1.3</f>
        <v>75397.400000000009</v>
      </c>
      <c r="O211" s="2">
        <f>+N211-M211</f>
        <v>17399.400000000009</v>
      </c>
    </row>
    <row r="212" spans="1:15" x14ac:dyDescent="0.2">
      <c r="A212" t="s">
        <v>41</v>
      </c>
      <c r="B212">
        <v>3</v>
      </c>
      <c r="C212" t="s">
        <v>14</v>
      </c>
      <c r="D212" t="s">
        <v>299</v>
      </c>
      <c r="E212" t="s">
        <v>16</v>
      </c>
      <c r="F212" t="s">
        <v>16</v>
      </c>
      <c r="G212">
        <v>2</v>
      </c>
      <c r="H212" t="s">
        <v>300</v>
      </c>
      <c r="I212" t="s">
        <v>301</v>
      </c>
      <c r="J212" t="s">
        <v>53</v>
      </c>
      <c r="K212" t="s">
        <v>40</v>
      </c>
      <c r="L212">
        <v>12</v>
      </c>
      <c r="M212" s="5">
        <v>35600</v>
      </c>
      <c r="N212" s="5">
        <f>+M212*1.3</f>
        <v>46280</v>
      </c>
      <c r="O212" s="2">
        <f>+N212-M212</f>
        <v>10680</v>
      </c>
    </row>
    <row r="213" spans="1:15" x14ac:dyDescent="0.2">
      <c r="A213" t="s">
        <v>88</v>
      </c>
      <c r="B213">
        <v>1</v>
      </c>
      <c r="C213" t="s">
        <v>161</v>
      </c>
      <c r="D213" t="s">
        <v>89</v>
      </c>
      <c r="E213" t="s">
        <v>16</v>
      </c>
      <c r="F213" t="s">
        <v>16</v>
      </c>
      <c r="G213">
        <v>22</v>
      </c>
      <c r="H213" t="s">
        <v>302</v>
      </c>
      <c r="I213" t="s">
        <v>303</v>
      </c>
      <c r="J213" t="s">
        <v>175</v>
      </c>
      <c r="K213" t="s">
        <v>98</v>
      </c>
      <c r="L213">
        <v>12</v>
      </c>
      <c r="M213" s="5">
        <v>26704</v>
      </c>
      <c r="N213" s="5">
        <f>+M213*1.3</f>
        <v>34715.200000000004</v>
      </c>
      <c r="O213" s="2">
        <f>+N213-M213</f>
        <v>8011.2000000000044</v>
      </c>
    </row>
    <row r="214" spans="1:15" x14ac:dyDescent="0.2">
      <c r="A214" t="s">
        <v>28</v>
      </c>
      <c r="B214">
        <v>1</v>
      </c>
      <c r="C214" t="s">
        <v>126</v>
      </c>
      <c r="D214" t="s">
        <v>130</v>
      </c>
      <c r="E214" t="s">
        <v>16</v>
      </c>
      <c r="F214" t="s">
        <v>16</v>
      </c>
      <c r="G214">
        <v>5</v>
      </c>
      <c r="H214" t="s">
        <v>304</v>
      </c>
      <c r="I214" t="s">
        <v>305</v>
      </c>
      <c r="J214" t="s">
        <v>103</v>
      </c>
      <c r="K214" t="s">
        <v>50</v>
      </c>
      <c r="L214">
        <v>1</v>
      </c>
      <c r="M214" s="5">
        <v>121310</v>
      </c>
      <c r="N214" s="5">
        <f>+M214*1.3</f>
        <v>157703</v>
      </c>
      <c r="O214" s="2">
        <f>+N214-M214</f>
        <v>36393</v>
      </c>
    </row>
    <row r="215" spans="1:15" x14ac:dyDescent="0.2">
      <c r="A215" t="s">
        <v>88</v>
      </c>
      <c r="B215">
        <v>1</v>
      </c>
      <c r="C215" t="s">
        <v>14</v>
      </c>
      <c r="D215" t="s">
        <v>89</v>
      </c>
      <c r="E215" t="s">
        <v>16</v>
      </c>
      <c r="F215" t="s">
        <v>16</v>
      </c>
      <c r="G215">
        <v>66</v>
      </c>
      <c r="H215" t="s">
        <v>306</v>
      </c>
      <c r="I215" t="s">
        <v>307</v>
      </c>
      <c r="J215" t="s">
        <v>53</v>
      </c>
      <c r="K215" t="s">
        <v>40</v>
      </c>
      <c r="L215">
        <v>12</v>
      </c>
      <c r="M215" s="5">
        <v>33371</v>
      </c>
      <c r="N215" s="5">
        <f>+M215*1.3</f>
        <v>43382.3</v>
      </c>
      <c r="O215" s="2">
        <f>+N215-M215</f>
        <v>10011.300000000003</v>
      </c>
    </row>
    <row r="216" spans="1:15" x14ac:dyDescent="0.2">
      <c r="A216" t="s">
        <v>88</v>
      </c>
      <c r="B216">
        <v>1</v>
      </c>
      <c r="C216" t="s">
        <v>14</v>
      </c>
      <c r="D216" t="s">
        <v>89</v>
      </c>
      <c r="E216" t="s">
        <v>16</v>
      </c>
      <c r="F216" t="s">
        <v>16</v>
      </c>
      <c r="G216">
        <v>91</v>
      </c>
      <c r="H216" t="s">
        <v>308</v>
      </c>
      <c r="I216" t="s">
        <v>309</v>
      </c>
      <c r="J216" t="s">
        <v>135</v>
      </c>
      <c r="K216" t="s">
        <v>40</v>
      </c>
      <c r="L216">
        <v>12</v>
      </c>
      <c r="M216" s="5">
        <v>48610</v>
      </c>
      <c r="N216" s="5">
        <f>+M216*1.3</f>
        <v>63193</v>
      </c>
      <c r="O216" s="2">
        <f>+N216-M216</f>
        <v>14583</v>
      </c>
    </row>
    <row r="217" spans="1:15" x14ac:dyDescent="0.2">
      <c r="A217" t="s">
        <v>35</v>
      </c>
      <c r="B217">
        <v>2</v>
      </c>
      <c r="C217" t="s">
        <v>14</v>
      </c>
      <c r="D217" t="s">
        <v>36</v>
      </c>
      <c r="E217" t="s">
        <v>16</v>
      </c>
      <c r="F217" t="s">
        <v>16</v>
      </c>
      <c r="G217">
        <v>4</v>
      </c>
      <c r="H217" t="s">
        <v>310</v>
      </c>
      <c r="I217" t="s">
        <v>311</v>
      </c>
      <c r="J217" t="s">
        <v>26</v>
      </c>
      <c r="K217" t="s">
        <v>27</v>
      </c>
      <c r="L217">
        <v>6</v>
      </c>
      <c r="M217" s="5">
        <v>70648</v>
      </c>
      <c r="N217" s="5">
        <f>+M217*1.3</f>
        <v>91842.400000000009</v>
      </c>
      <c r="O217" s="2">
        <f>+N217-M217</f>
        <v>21194.400000000009</v>
      </c>
    </row>
    <row r="218" spans="1:15" x14ac:dyDescent="0.2">
      <c r="A218" t="s">
        <v>41</v>
      </c>
      <c r="B218">
        <v>2</v>
      </c>
      <c r="C218" t="s">
        <v>14</v>
      </c>
      <c r="D218" t="s">
        <v>36</v>
      </c>
      <c r="E218" t="s">
        <v>16</v>
      </c>
      <c r="F218" t="s">
        <v>16</v>
      </c>
      <c r="G218">
        <v>4</v>
      </c>
      <c r="H218" t="s">
        <v>310</v>
      </c>
      <c r="I218" t="s">
        <v>311</v>
      </c>
      <c r="J218" t="s">
        <v>26</v>
      </c>
      <c r="K218" t="s">
        <v>27</v>
      </c>
      <c r="L218">
        <v>6</v>
      </c>
      <c r="M218" s="5">
        <v>70648</v>
      </c>
      <c r="N218" s="5">
        <f>+M218*1.3</f>
        <v>91842.400000000009</v>
      </c>
      <c r="O218" s="2">
        <f>+N218-M218</f>
        <v>21194.400000000009</v>
      </c>
    </row>
    <row r="219" spans="1:15" x14ac:dyDescent="0.2">
      <c r="A219" t="s">
        <v>21</v>
      </c>
      <c r="B219">
        <v>1</v>
      </c>
      <c r="C219" t="s">
        <v>14</v>
      </c>
      <c r="D219" t="s">
        <v>36</v>
      </c>
      <c r="E219" t="s">
        <v>16</v>
      </c>
      <c r="F219" t="s">
        <v>16</v>
      </c>
      <c r="G219">
        <v>4</v>
      </c>
      <c r="H219" t="s">
        <v>310</v>
      </c>
      <c r="I219" t="s">
        <v>311</v>
      </c>
      <c r="J219" t="s">
        <v>26</v>
      </c>
      <c r="K219" t="s">
        <v>27</v>
      </c>
      <c r="L219">
        <v>6</v>
      </c>
      <c r="M219" s="5">
        <v>70648</v>
      </c>
      <c r="N219" s="5">
        <f>+M219*1.3</f>
        <v>91842.400000000009</v>
      </c>
      <c r="O219" s="2">
        <f>+N219-M219</f>
        <v>21194.400000000009</v>
      </c>
    </row>
    <row r="220" spans="1:15" x14ac:dyDescent="0.2">
      <c r="A220" t="s">
        <v>28</v>
      </c>
      <c r="B220">
        <v>2</v>
      </c>
      <c r="C220" t="s">
        <v>14</v>
      </c>
      <c r="D220" t="s">
        <v>36</v>
      </c>
      <c r="E220" t="s">
        <v>16</v>
      </c>
      <c r="F220" t="s">
        <v>16</v>
      </c>
      <c r="G220">
        <v>4</v>
      </c>
      <c r="H220" t="s">
        <v>310</v>
      </c>
      <c r="I220" t="s">
        <v>311</v>
      </c>
      <c r="J220" t="s">
        <v>26</v>
      </c>
      <c r="K220" t="s">
        <v>27</v>
      </c>
      <c r="L220">
        <v>6</v>
      </c>
      <c r="M220" s="5">
        <v>70648</v>
      </c>
      <c r="N220" s="5">
        <f>+M220*1.3</f>
        <v>91842.400000000009</v>
      </c>
      <c r="O220" s="2">
        <f>+N220-M220</f>
        <v>21194.400000000009</v>
      </c>
    </row>
    <row r="221" spans="1:15" x14ac:dyDescent="0.2">
      <c r="A221" t="s">
        <v>88</v>
      </c>
      <c r="B221">
        <v>2</v>
      </c>
      <c r="C221" t="s">
        <v>14</v>
      </c>
      <c r="D221" t="s">
        <v>89</v>
      </c>
      <c r="E221" t="s">
        <v>16</v>
      </c>
      <c r="F221" t="s">
        <v>16</v>
      </c>
      <c r="G221">
        <v>17</v>
      </c>
      <c r="H221" t="s">
        <v>312</v>
      </c>
      <c r="I221" t="s">
        <v>313</v>
      </c>
      <c r="J221" t="s">
        <v>70</v>
      </c>
      <c r="K221" t="s">
        <v>50</v>
      </c>
      <c r="L221">
        <v>1</v>
      </c>
      <c r="M221" s="5">
        <v>62497</v>
      </c>
      <c r="N221" s="5">
        <f>+M221*1.3</f>
        <v>81246.100000000006</v>
      </c>
      <c r="O221" s="2">
        <f>+N221-M221</f>
        <v>18749.100000000006</v>
      </c>
    </row>
    <row r="222" spans="1:15" x14ac:dyDescent="0.2">
      <c r="A222" t="s">
        <v>13</v>
      </c>
      <c r="B222">
        <v>1</v>
      </c>
      <c r="C222" t="s">
        <v>14</v>
      </c>
      <c r="D222" t="s">
        <v>29</v>
      </c>
      <c r="E222" t="s">
        <v>16</v>
      </c>
      <c r="F222" t="s">
        <v>16</v>
      </c>
      <c r="G222">
        <v>8</v>
      </c>
      <c r="H222" t="s">
        <v>314</v>
      </c>
      <c r="I222" t="s">
        <v>315</v>
      </c>
      <c r="J222" t="s">
        <v>39</v>
      </c>
      <c r="K222" t="s">
        <v>40</v>
      </c>
      <c r="L222">
        <v>12</v>
      </c>
      <c r="M222" s="5">
        <v>49881</v>
      </c>
      <c r="N222" s="5">
        <f>+M222*1.3</f>
        <v>64845.3</v>
      </c>
      <c r="O222" s="2">
        <f>+N222-M222</f>
        <v>14964.300000000003</v>
      </c>
    </row>
    <row r="223" spans="1:15" x14ac:dyDescent="0.2">
      <c r="A223" t="s">
        <v>21</v>
      </c>
      <c r="B223">
        <v>1</v>
      </c>
      <c r="C223" t="s">
        <v>14</v>
      </c>
      <c r="D223" t="s">
        <v>29</v>
      </c>
      <c r="E223" t="s">
        <v>16</v>
      </c>
      <c r="F223" t="s">
        <v>16</v>
      </c>
      <c r="G223">
        <v>8</v>
      </c>
      <c r="H223" t="s">
        <v>314</v>
      </c>
      <c r="I223" t="s">
        <v>315</v>
      </c>
      <c r="J223" t="s">
        <v>39</v>
      </c>
      <c r="K223" t="s">
        <v>40</v>
      </c>
      <c r="L223">
        <v>12</v>
      </c>
      <c r="M223" s="5">
        <v>49881</v>
      </c>
      <c r="N223" s="5">
        <f>+M223*1.3</f>
        <v>64845.3</v>
      </c>
      <c r="O223" s="2">
        <f>+N223-M223</f>
        <v>14964.300000000003</v>
      </c>
    </row>
    <row r="224" spans="1:15" x14ac:dyDescent="0.2">
      <c r="A224" t="s">
        <v>88</v>
      </c>
      <c r="B224">
        <v>1</v>
      </c>
      <c r="C224" t="s">
        <v>14</v>
      </c>
      <c r="D224" t="s">
        <v>89</v>
      </c>
      <c r="E224" t="s">
        <v>16</v>
      </c>
      <c r="F224" t="s">
        <v>16</v>
      </c>
      <c r="G224">
        <v>83</v>
      </c>
      <c r="H224" t="s">
        <v>316</v>
      </c>
      <c r="I224" t="s">
        <v>317</v>
      </c>
      <c r="J224" t="s">
        <v>39</v>
      </c>
      <c r="K224" t="s">
        <v>40</v>
      </c>
      <c r="L224">
        <v>12</v>
      </c>
      <c r="M224" s="5">
        <v>42384</v>
      </c>
      <c r="N224" s="5">
        <f>+M224*1.3</f>
        <v>55099.200000000004</v>
      </c>
      <c r="O224" s="2">
        <f>+N224-M224</f>
        <v>12715.200000000004</v>
      </c>
    </row>
    <row r="225" spans="1:15" x14ac:dyDescent="0.2">
      <c r="A225" t="s">
        <v>88</v>
      </c>
      <c r="B225">
        <v>2</v>
      </c>
      <c r="C225" t="s">
        <v>14</v>
      </c>
      <c r="D225" t="s">
        <v>89</v>
      </c>
      <c r="E225" t="s">
        <v>16</v>
      </c>
      <c r="F225" t="s">
        <v>16</v>
      </c>
      <c r="G225">
        <v>9</v>
      </c>
      <c r="H225" t="s">
        <v>318</v>
      </c>
      <c r="I225" t="s">
        <v>319</v>
      </c>
      <c r="J225" t="s">
        <v>49</v>
      </c>
      <c r="K225" t="s">
        <v>50</v>
      </c>
      <c r="L225">
        <v>1</v>
      </c>
      <c r="M225" s="5">
        <v>46124</v>
      </c>
      <c r="N225" s="5">
        <f>+M225*1.3</f>
        <v>59961.200000000004</v>
      </c>
      <c r="O225" s="2">
        <f>+N225-M225</f>
        <v>13837.200000000004</v>
      </c>
    </row>
    <row r="226" spans="1:15" x14ac:dyDescent="0.2">
      <c r="A226" t="s">
        <v>88</v>
      </c>
      <c r="B226">
        <v>1</v>
      </c>
      <c r="C226" t="s">
        <v>320</v>
      </c>
      <c r="D226" t="s">
        <v>89</v>
      </c>
      <c r="E226" t="s">
        <v>16</v>
      </c>
      <c r="F226" t="s">
        <v>16</v>
      </c>
      <c r="G226">
        <v>30</v>
      </c>
      <c r="H226" t="s">
        <v>321</v>
      </c>
      <c r="I226" t="s">
        <v>322</v>
      </c>
      <c r="J226" t="s">
        <v>323</v>
      </c>
      <c r="K226" t="s">
        <v>40</v>
      </c>
      <c r="L226">
        <v>24</v>
      </c>
      <c r="M226" s="5">
        <v>42315</v>
      </c>
      <c r="N226" s="5">
        <f>+M226*1.3</f>
        <v>55009.5</v>
      </c>
      <c r="O226" s="2">
        <f>+N226-M226</f>
        <v>12694.5</v>
      </c>
    </row>
    <row r="227" spans="1:15" x14ac:dyDescent="0.2">
      <c r="A227" t="s">
        <v>88</v>
      </c>
      <c r="B227">
        <v>1</v>
      </c>
      <c r="C227" t="s">
        <v>14</v>
      </c>
      <c r="D227" t="s">
        <v>89</v>
      </c>
      <c r="E227" t="s">
        <v>16</v>
      </c>
      <c r="F227" t="s">
        <v>16</v>
      </c>
      <c r="G227">
        <v>11</v>
      </c>
      <c r="H227" t="s">
        <v>324</v>
      </c>
      <c r="I227" t="s">
        <v>325</v>
      </c>
      <c r="J227" t="s">
        <v>326</v>
      </c>
      <c r="K227" t="s">
        <v>98</v>
      </c>
      <c r="L227">
        <v>12</v>
      </c>
      <c r="M227" s="5">
        <v>15282</v>
      </c>
      <c r="N227" s="5">
        <f>+M227*1.3</f>
        <v>19866.600000000002</v>
      </c>
      <c r="O227" s="2">
        <f>+N227-M227</f>
        <v>4584.6000000000022</v>
      </c>
    </row>
    <row r="228" spans="1:15" x14ac:dyDescent="0.2">
      <c r="A228" t="s">
        <v>88</v>
      </c>
      <c r="B228">
        <v>1</v>
      </c>
      <c r="C228" t="s">
        <v>14</v>
      </c>
      <c r="D228" t="s">
        <v>89</v>
      </c>
      <c r="E228" t="s">
        <v>16</v>
      </c>
      <c r="F228" t="s">
        <v>16</v>
      </c>
      <c r="G228">
        <v>42</v>
      </c>
      <c r="H228" t="s">
        <v>327</v>
      </c>
      <c r="I228" t="s">
        <v>328</v>
      </c>
      <c r="J228" t="s">
        <v>32</v>
      </c>
      <c r="K228" t="s">
        <v>27</v>
      </c>
      <c r="L228">
        <v>4</v>
      </c>
      <c r="M228" s="5">
        <v>110391</v>
      </c>
      <c r="N228" s="5">
        <f>+M228*1.3</f>
        <v>143508.30000000002</v>
      </c>
      <c r="O228" s="2">
        <f>+N228-M228</f>
        <v>33117.300000000017</v>
      </c>
    </row>
    <row r="229" spans="1:15" x14ac:dyDescent="0.2">
      <c r="A229" t="s">
        <v>45</v>
      </c>
      <c r="B229">
        <v>1</v>
      </c>
      <c r="C229" t="s">
        <v>14</v>
      </c>
      <c r="D229" t="s">
        <v>211</v>
      </c>
      <c r="E229" t="s">
        <v>16</v>
      </c>
      <c r="F229" t="s">
        <v>16</v>
      </c>
      <c r="G229">
        <v>2</v>
      </c>
      <c r="H229" t="s">
        <v>329</v>
      </c>
      <c r="I229" t="s">
        <v>330</v>
      </c>
      <c r="J229" t="s">
        <v>123</v>
      </c>
      <c r="K229" t="s">
        <v>57</v>
      </c>
      <c r="L229">
        <v>1</v>
      </c>
      <c r="M229" s="5">
        <v>542285</v>
      </c>
      <c r="N229" s="5">
        <f>+M229*1.3</f>
        <v>704970.5</v>
      </c>
      <c r="O229" s="2">
        <f>+N229-M229</f>
        <v>162685.5</v>
      </c>
    </row>
    <row r="230" spans="1:15" x14ac:dyDescent="0.2">
      <c r="A230" t="s">
        <v>41</v>
      </c>
      <c r="B230">
        <v>1</v>
      </c>
      <c r="C230" t="s">
        <v>14</v>
      </c>
      <c r="D230" t="s">
        <v>211</v>
      </c>
      <c r="E230" t="s">
        <v>16</v>
      </c>
      <c r="F230" t="s">
        <v>16</v>
      </c>
      <c r="G230">
        <v>2</v>
      </c>
      <c r="H230" t="s">
        <v>329</v>
      </c>
      <c r="I230" t="s">
        <v>330</v>
      </c>
      <c r="J230" t="s">
        <v>123</v>
      </c>
      <c r="K230" t="s">
        <v>57</v>
      </c>
      <c r="L230">
        <v>1</v>
      </c>
      <c r="M230" s="5">
        <v>542285</v>
      </c>
      <c r="N230" s="5">
        <f>+M230*1.3</f>
        <v>704970.5</v>
      </c>
      <c r="O230" s="2">
        <f>+N230-M230</f>
        <v>162685.5</v>
      </c>
    </row>
    <row r="231" spans="1:15" x14ac:dyDescent="0.2">
      <c r="A231" t="s">
        <v>28</v>
      </c>
      <c r="B231">
        <v>1</v>
      </c>
      <c r="C231" t="s">
        <v>14</v>
      </c>
      <c r="D231" t="s">
        <v>211</v>
      </c>
      <c r="E231" t="s">
        <v>16</v>
      </c>
      <c r="F231" t="s">
        <v>16</v>
      </c>
      <c r="G231">
        <v>2</v>
      </c>
      <c r="H231" t="s">
        <v>329</v>
      </c>
      <c r="I231" t="s">
        <v>330</v>
      </c>
      <c r="J231" t="s">
        <v>123</v>
      </c>
      <c r="K231" t="s">
        <v>57</v>
      </c>
      <c r="L231">
        <v>1</v>
      </c>
      <c r="M231" s="5">
        <v>542285</v>
      </c>
      <c r="N231" s="5">
        <f>+M231*1.3</f>
        <v>704970.5</v>
      </c>
      <c r="O231" s="2">
        <f>+N231-M231</f>
        <v>162685.5</v>
      </c>
    </row>
    <row r="232" spans="1:15" x14ac:dyDescent="0.2">
      <c r="A232" t="s">
        <v>88</v>
      </c>
      <c r="B232">
        <v>1</v>
      </c>
      <c r="C232" t="s">
        <v>14</v>
      </c>
      <c r="D232" t="s">
        <v>89</v>
      </c>
      <c r="E232" t="s">
        <v>16</v>
      </c>
      <c r="F232" t="s">
        <v>16</v>
      </c>
      <c r="G232">
        <v>23</v>
      </c>
      <c r="H232" t="s">
        <v>331</v>
      </c>
      <c r="I232" t="s">
        <v>332</v>
      </c>
      <c r="J232" t="s">
        <v>333</v>
      </c>
      <c r="K232" t="s">
        <v>40</v>
      </c>
      <c r="L232">
        <v>30</v>
      </c>
      <c r="M232" s="5">
        <v>48266</v>
      </c>
      <c r="N232" s="5">
        <f>+M232*1.3</f>
        <v>62745.8</v>
      </c>
      <c r="O232" s="2">
        <f>+N232-M232</f>
        <v>14479.800000000003</v>
      </c>
    </row>
    <row r="233" spans="1:15" x14ac:dyDescent="0.2">
      <c r="A233" t="s">
        <v>88</v>
      </c>
      <c r="B233">
        <v>1</v>
      </c>
      <c r="C233" t="s">
        <v>94</v>
      </c>
      <c r="D233" t="s">
        <v>89</v>
      </c>
      <c r="E233" t="s">
        <v>16</v>
      </c>
      <c r="F233" t="s">
        <v>16</v>
      </c>
      <c r="G233">
        <v>2</v>
      </c>
      <c r="H233" t="s">
        <v>334</v>
      </c>
      <c r="I233" t="s">
        <v>335</v>
      </c>
      <c r="J233" t="s">
        <v>255</v>
      </c>
      <c r="K233" t="s">
        <v>98</v>
      </c>
      <c r="L233">
        <v>24</v>
      </c>
      <c r="M233" s="5">
        <v>13265</v>
      </c>
      <c r="N233" s="5">
        <f>+M233*1.3</f>
        <v>17244.5</v>
      </c>
      <c r="O233" s="2">
        <f>+N233-M233</f>
        <v>3979.5</v>
      </c>
    </row>
    <row r="234" spans="1:15" x14ac:dyDescent="0.2">
      <c r="A234" t="s">
        <v>13</v>
      </c>
      <c r="B234">
        <v>3</v>
      </c>
      <c r="C234" t="s">
        <v>22</v>
      </c>
      <c r="D234" t="s">
        <v>23</v>
      </c>
      <c r="E234" t="s">
        <v>16</v>
      </c>
      <c r="F234" t="s">
        <v>16</v>
      </c>
      <c r="G234">
        <v>1</v>
      </c>
      <c r="H234" t="s">
        <v>336</v>
      </c>
      <c r="I234" t="s">
        <v>337</v>
      </c>
      <c r="J234" t="s">
        <v>49</v>
      </c>
      <c r="K234" t="s">
        <v>50</v>
      </c>
      <c r="L234">
        <v>1</v>
      </c>
      <c r="M234" s="5">
        <v>26106</v>
      </c>
      <c r="N234" s="5">
        <f>+M234*1.3</f>
        <v>33937.800000000003</v>
      </c>
      <c r="O234" s="2">
        <f>+N234-M234</f>
        <v>7831.8000000000029</v>
      </c>
    </row>
    <row r="235" spans="1:15" x14ac:dyDescent="0.2">
      <c r="A235" t="s">
        <v>21</v>
      </c>
      <c r="B235">
        <v>2</v>
      </c>
      <c r="C235" t="s">
        <v>22</v>
      </c>
      <c r="D235" t="s">
        <v>23</v>
      </c>
      <c r="E235" t="s">
        <v>16</v>
      </c>
      <c r="F235" t="s">
        <v>16</v>
      </c>
      <c r="G235">
        <v>1</v>
      </c>
      <c r="H235" t="s">
        <v>336</v>
      </c>
      <c r="I235" t="s">
        <v>337</v>
      </c>
      <c r="J235" t="s">
        <v>49</v>
      </c>
      <c r="K235" t="s">
        <v>50</v>
      </c>
      <c r="L235">
        <v>1</v>
      </c>
      <c r="M235" s="5">
        <v>26106</v>
      </c>
      <c r="N235" s="5">
        <f>+M235*1.3</f>
        <v>33937.800000000003</v>
      </c>
      <c r="O235" s="2">
        <f>+N235-M235</f>
        <v>7831.8000000000029</v>
      </c>
    </row>
    <row r="236" spans="1:15" x14ac:dyDescent="0.2">
      <c r="A236" t="s">
        <v>28</v>
      </c>
      <c r="B236">
        <v>1</v>
      </c>
      <c r="C236" t="s">
        <v>22</v>
      </c>
      <c r="D236" t="s">
        <v>23</v>
      </c>
      <c r="E236" t="s">
        <v>16</v>
      </c>
      <c r="F236" t="s">
        <v>16</v>
      </c>
      <c r="G236">
        <v>1</v>
      </c>
      <c r="H236" t="s">
        <v>336</v>
      </c>
      <c r="I236" t="s">
        <v>337</v>
      </c>
      <c r="J236" t="s">
        <v>49</v>
      </c>
      <c r="K236" t="s">
        <v>50</v>
      </c>
      <c r="L236">
        <v>1</v>
      </c>
      <c r="M236" s="5">
        <v>26106</v>
      </c>
      <c r="N236" s="5">
        <f>+M236*1.3</f>
        <v>33937.800000000003</v>
      </c>
      <c r="O236" s="2">
        <f>+N236-M236</f>
        <v>7831.8000000000029</v>
      </c>
    </row>
    <row r="237" spans="1:15" x14ac:dyDescent="0.2">
      <c r="A237" t="s">
        <v>88</v>
      </c>
      <c r="B237">
        <v>1</v>
      </c>
      <c r="C237" t="s">
        <v>320</v>
      </c>
      <c r="D237" t="s">
        <v>89</v>
      </c>
      <c r="E237" t="s">
        <v>16</v>
      </c>
      <c r="F237" t="s">
        <v>16</v>
      </c>
      <c r="G237">
        <v>33</v>
      </c>
      <c r="H237" t="s">
        <v>338</v>
      </c>
      <c r="I237" t="s">
        <v>339</v>
      </c>
      <c r="J237" t="s">
        <v>323</v>
      </c>
      <c r="K237" t="s">
        <v>40</v>
      </c>
      <c r="L237">
        <v>12</v>
      </c>
      <c r="M237" s="5">
        <v>21623</v>
      </c>
      <c r="N237" s="5">
        <f>+M237*1.3</f>
        <v>28109.9</v>
      </c>
      <c r="O237" s="2">
        <f>+N237-M237</f>
        <v>6486.9000000000015</v>
      </c>
    </row>
    <row r="238" spans="1:15" x14ac:dyDescent="0.2">
      <c r="A238" t="s">
        <v>88</v>
      </c>
      <c r="B238">
        <v>1</v>
      </c>
      <c r="C238" t="s">
        <v>320</v>
      </c>
      <c r="D238" t="s">
        <v>89</v>
      </c>
      <c r="E238" t="s">
        <v>16</v>
      </c>
      <c r="F238" t="s">
        <v>16</v>
      </c>
      <c r="G238">
        <v>15</v>
      </c>
      <c r="H238" t="s">
        <v>340</v>
      </c>
      <c r="I238" t="s">
        <v>341</v>
      </c>
      <c r="J238" t="s">
        <v>342</v>
      </c>
      <c r="K238" t="s">
        <v>98</v>
      </c>
      <c r="L238">
        <v>24</v>
      </c>
      <c r="M238" s="5">
        <v>31938</v>
      </c>
      <c r="N238" s="5">
        <f>+M238*1.3</f>
        <v>41519.4</v>
      </c>
      <c r="O238" s="2">
        <f>+N238-M238</f>
        <v>9581.4000000000015</v>
      </c>
    </row>
    <row r="239" spans="1:15" x14ac:dyDescent="0.2">
      <c r="A239" t="s">
        <v>28</v>
      </c>
      <c r="B239">
        <v>1</v>
      </c>
      <c r="C239" t="s">
        <v>126</v>
      </c>
      <c r="D239" t="s">
        <v>130</v>
      </c>
      <c r="E239" t="s">
        <v>16</v>
      </c>
      <c r="F239" t="s">
        <v>16</v>
      </c>
      <c r="G239">
        <v>3</v>
      </c>
      <c r="H239" t="s">
        <v>343</v>
      </c>
      <c r="I239" t="s">
        <v>344</v>
      </c>
      <c r="J239" t="s">
        <v>103</v>
      </c>
      <c r="K239" t="s">
        <v>50</v>
      </c>
      <c r="L239">
        <v>1</v>
      </c>
      <c r="M239" s="5">
        <v>56506</v>
      </c>
      <c r="N239" s="5">
        <f>+M239*1.3</f>
        <v>73457.8</v>
      </c>
      <c r="O239" s="2">
        <f>+N239-M239</f>
        <v>16951.800000000003</v>
      </c>
    </row>
    <row r="240" spans="1:15" x14ac:dyDescent="0.2">
      <c r="A240" t="s">
        <v>88</v>
      </c>
      <c r="B240">
        <v>2</v>
      </c>
      <c r="C240" t="s">
        <v>14</v>
      </c>
      <c r="D240" t="s">
        <v>89</v>
      </c>
      <c r="E240" t="s">
        <v>16</v>
      </c>
      <c r="F240" t="s">
        <v>16</v>
      </c>
      <c r="G240">
        <v>13</v>
      </c>
      <c r="H240" t="s">
        <v>345</v>
      </c>
      <c r="I240" t="s">
        <v>346</v>
      </c>
      <c r="J240" t="s">
        <v>70</v>
      </c>
      <c r="K240" t="s">
        <v>50</v>
      </c>
      <c r="L240">
        <v>1</v>
      </c>
      <c r="M240" s="5">
        <v>51906</v>
      </c>
      <c r="N240" s="5">
        <f>+M240*1.3</f>
        <v>67477.8</v>
      </c>
      <c r="O240" s="2">
        <f>+N240-M240</f>
        <v>15571.800000000003</v>
      </c>
    </row>
    <row r="241" spans="1:15" x14ac:dyDescent="0.2">
      <c r="A241" t="s">
        <v>28</v>
      </c>
      <c r="B241">
        <v>3</v>
      </c>
      <c r="C241" t="s">
        <v>126</v>
      </c>
      <c r="D241" t="s">
        <v>130</v>
      </c>
      <c r="E241" t="s">
        <v>16</v>
      </c>
      <c r="F241" t="s">
        <v>16</v>
      </c>
      <c r="G241">
        <v>9</v>
      </c>
      <c r="H241" t="s">
        <v>347</v>
      </c>
      <c r="I241" t="s">
        <v>348</v>
      </c>
      <c r="J241" t="s">
        <v>271</v>
      </c>
      <c r="K241" t="s">
        <v>181</v>
      </c>
      <c r="L241">
        <v>24</v>
      </c>
      <c r="M241" s="5">
        <v>54129</v>
      </c>
      <c r="N241" s="5">
        <f>+M241*1.3</f>
        <v>70367.7</v>
      </c>
      <c r="O241" s="2">
        <f>+N241-M241</f>
        <v>16238.699999999997</v>
      </c>
    </row>
    <row r="242" spans="1:15" x14ac:dyDescent="0.2">
      <c r="A242" t="s">
        <v>88</v>
      </c>
      <c r="B242">
        <v>1</v>
      </c>
      <c r="C242" t="s">
        <v>94</v>
      </c>
      <c r="D242" t="s">
        <v>89</v>
      </c>
      <c r="E242" t="s">
        <v>16</v>
      </c>
      <c r="F242" t="s">
        <v>16</v>
      </c>
      <c r="G242">
        <v>19</v>
      </c>
      <c r="H242" t="s">
        <v>349</v>
      </c>
      <c r="I242" t="s">
        <v>350</v>
      </c>
      <c r="J242" t="s">
        <v>26</v>
      </c>
      <c r="K242" t="s">
        <v>27</v>
      </c>
      <c r="L242">
        <v>6</v>
      </c>
      <c r="M242" s="5">
        <v>55217</v>
      </c>
      <c r="N242" s="5">
        <f>+M242*1.3</f>
        <v>71782.100000000006</v>
      </c>
      <c r="O242" s="2">
        <f>+N242-M242</f>
        <v>16565.100000000006</v>
      </c>
    </row>
    <row r="243" spans="1:15" x14ac:dyDescent="0.2">
      <c r="A243" t="s">
        <v>88</v>
      </c>
      <c r="B243">
        <v>1</v>
      </c>
      <c r="C243" t="s">
        <v>320</v>
      </c>
      <c r="D243" t="s">
        <v>89</v>
      </c>
      <c r="E243" t="s">
        <v>16</v>
      </c>
      <c r="F243" t="s">
        <v>16</v>
      </c>
      <c r="G243">
        <v>14</v>
      </c>
      <c r="H243" t="s">
        <v>351</v>
      </c>
      <c r="I243" t="s">
        <v>352</v>
      </c>
      <c r="J243" t="s">
        <v>342</v>
      </c>
      <c r="K243" t="s">
        <v>98</v>
      </c>
      <c r="L243">
        <v>24</v>
      </c>
      <c r="M243" s="5">
        <v>31779</v>
      </c>
      <c r="N243" s="5">
        <f>+M243*1.3</f>
        <v>41312.700000000004</v>
      </c>
      <c r="O243" s="2">
        <f>+N243-M243</f>
        <v>9533.7000000000044</v>
      </c>
    </row>
    <row r="244" spans="1:15" x14ac:dyDescent="0.2">
      <c r="A244" t="s">
        <v>13</v>
      </c>
      <c r="B244">
        <v>2</v>
      </c>
      <c r="C244" t="s">
        <v>22</v>
      </c>
      <c r="D244" t="s">
        <v>42</v>
      </c>
      <c r="E244" t="s">
        <v>16</v>
      </c>
      <c r="F244" t="s">
        <v>16</v>
      </c>
      <c r="G244">
        <v>1</v>
      </c>
      <c r="H244" t="s">
        <v>353</v>
      </c>
      <c r="I244" t="s">
        <v>354</v>
      </c>
      <c r="J244" t="s">
        <v>19</v>
      </c>
      <c r="K244" t="s">
        <v>20</v>
      </c>
      <c r="L244">
        <v>4</v>
      </c>
      <c r="M244" s="5">
        <v>33570</v>
      </c>
      <c r="N244" s="5">
        <f>+M244*1.3</f>
        <v>43641</v>
      </c>
      <c r="O244" s="2">
        <f>+N244-M244</f>
        <v>10071</v>
      </c>
    </row>
    <row r="245" spans="1:15" x14ac:dyDescent="0.2">
      <c r="A245" t="s">
        <v>35</v>
      </c>
      <c r="B245">
        <v>2</v>
      </c>
      <c r="C245" t="s">
        <v>22</v>
      </c>
      <c r="D245" t="s">
        <v>42</v>
      </c>
      <c r="E245" t="s">
        <v>16</v>
      </c>
      <c r="F245" t="s">
        <v>16</v>
      </c>
      <c r="G245">
        <v>1</v>
      </c>
      <c r="H245" t="s">
        <v>353</v>
      </c>
      <c r="I245" t="s">
        <v>354</v>
      </c>
      <c r="J245" t="s">
        <v>19</v>
      </c>
      <c r="K245" t="s">
        <v>20</v>
      </c>
      <c r="L245">
        <v>4</v>
      </c>
      <c r="M245" s="5">
        <v>33570</v>
      </c>
      <c r="N245" s="5">
        <f>+M245*1.3</f>
        <v>43641</v>
      </c>
      <c r="O245" s="2">
        <f>+N245-M245</f>
        <v>10071</v>
      </c>
    </row>
    <row r="246" spans="1:15" x14ac:dyDescent="0.2">
      <c r="A246" t="s">
        <v>21</v>
      </c>
      <c r="B246">
        <v>1</v>
      </c>
      <c r="C246" t="s">
        <v>22</v>
      </c>
      <c r="D246" t="s">
        <v>42</v>
      </c>
      <c r="E246" t="s">
        <v>16</v>
      </c>
      <c r="F246" t="s">
        <v>16</v>
      </c>
      <c r="G246">
        <v>1</v>
      </c>
      <c r="H246" t="s">
        <v>353</v>
      </c>
      <c r="I246" t="s">
        <v>354</v>
      </c>
      <c r="J246" t="s">
        <v>19</v>
      </c>
      <c r="K246" t="s">
        <v>20</v>
      </c>
      <c r="L246">
        <v>4</v>
      </c>
      <c r="M246" s="5">
        <v>33570</v>
      </c>
      <c r="N246" s="5">
        <f>+M246*1.3</f>
        <v>43641</v>
      </c>
      <c r="O246" s="2">
        <f>+N246-M246</f>
        <v>10071</v>
      </c>
    </row>
    <row r="247" spans="1:15" x14ac:dyDescent="0.2">
      <c r="A247" t="s">
        <v>28</v>
      </c>
      <c r="B247">
        <v>2</v>
      </c>
      <c r="C247" t="s">
        <v>22</v>
      </c>
      <c r="D247" t="s">
        <v>42</v>
      </c>
      <c r="E247" t="s">
        <v>16</v>
      </c>
      <c r="F247" t="s">
        <v>16</v>
      </c>
      <c r="G247">
        <v>1</v>
      </c>
      <c r="H247" t="s">
        <v>353</v>
      </c>
      <c r="I247" t="s">
        <v>354</v>
      </c>
      <c r="J247" t="s">
        <v>19</v>
      </c>
      <c r="K247" t="s">
        <v>20</v>
      </c>
      <c r="L247">
        <v>4</v>
      </c>
      <c r="M247" s="5">
        <v>33570</v>
      </c>
      <c r="N247" s="5">
        <f>+M247*1.3</f>
        <v>43641</v>
      </c>
      <c r="O247" s="2">
        <f>+N247-M247</f>
        <v>10071</v>
      </c>
    </row>
    <row r="248" spans="1:15" x14ac:dyDescent="0.2">
      <c r="A248" t="s">
        <v>13</v>
      </c>
      <c r="B248">
        <v>1</v>
      </c>
      <c r="C248" t="s">
        <v>22</v>
      </c>
      <c r="D248" t="s">
        <v>23</v>
      </c>
      <c r="E248" t="s">
        <v>16</v>
      </c>
      <c r="F248" t="s">
        <v>16</v>
      </c>
      <c r="G248">
        <v>1</v>
      </c>
      <c r="H248" t="s">
        <v>355</v>
      </c>
      <c r="I248" t="s">
        <v>356</v>
      </c>
      <c r="J248" t="s">
        <v>56</v>
      </c>
      <c r="K248" t="s">
        <v>57</v>
      </c>
      <c r="L248">
        <v>1</v>
      </c>
      <c r="M248" s="5">
        <v>268210</v>
      </c>
      <c r="N248" s="5">
        <f>+M248*1.3</f>
        <v>348673</v>
      </c>
      <c r="O248" s="2">
        <f>+N248-M248</f>
        <v>80463</v>
      </c>
    </row>
    <row r="249" spans="1:15" x14ac:dyDescent="0.2">
      <c r="A249" t="s">
        <v>21</v>
      </c>
      <c r="B249">
        <v>3</v>
      </c>
      <c r="C249" t="s">
        <v>22</v>
      </c>
      <c r="D249" t="s">
        <v>23</v>
      </c>
      <c r="E249" t="s">
        <v>16</v>
      </c>
      <c r="F249" t="s">
        <v>16</v>
      </c>
      <c r="G249">
        <v>1</v>
      </c>
      <c r="H249" t="s">
        <v>355</v>
      </c>
      <c r="I249" t="s">
        <v>356</v>
      </c>
      <c r="J249" t="s">
        <v>56</v>
      </c>
      <c r="K249" t="s">
        <v>57</v>
      </c>
      <c r="L249">
        <v>1</v>
      </c>
      <c r="M249" s="5">
        <v>268210</v>
      </c>
      <c r="N249" s="5">
        <f>+M249*1.3</f>
        <v>348673</v>
      </c>
      <c r="O249" s="2">
        <f>+N249-M249</f>
        <v>80463</v>
      </c>
    </row>
    <row r="250" spans="1:15" x14ac:dyDescent="0.2">
      <c r="A250" t="s">
        <v>28</v>
      </c>
      <c r="B250">
        <v>1</v>
      </c>
      <c r="C250" t="s">
        <v>22</v>
      </c>
      <c r="D250" t="s">
        <v>23</v>
      </c>
      <c r="E250" t="s">
        <v>16</v>
      </c>
      <c r="F250" t="s">
        <v>16</v>
      </c>
      <c r="G250">
        <v>1</v>
      </c>
      <c r="H250" t="s">
        <v>355</v>
      </c>
      <c r="I250" t="s">
        <v>356</v>
      </c>
      <c r="J250" t="s">
        <v>56</v>
      </c>
      <c r="K250" t="s">
        <v>57</v>
      </c>
      <c r="L250">
        <v>1</v>
      </c>
      <c r="M250" s="5">
        <v>268210</v>
      </c>
      <c r="N250" s="5">
        <f>+M250*1.3</f>
        <v>348673</v>
      </c>
      <c r="O250" s="2">
        <f>+N250-M250</f>
        <v>80463</v>
      </c>
    </row>
    <row r="251" spans="1:15" x14ac:dyDescent="0.2">
      <c r="A251" t="s">
        <v>88</v>
      </c>
      <c r="B251">
        <v>1</v>
      </c>
      <c r="C251" t="s">
        <v>14</v>
      </c>
      <c r="D251" t="s">
        <v>89</v>
      </c>
      <c r="E251" t="s">
        <v>16</v>
      </c>
      <c r="F251" t="s">
        <v>16</v>
      </c>
      <c r="G251">
        <v>76</v>
      </c>
      <c r="H251" t="s">
        <v>357</v>
      </c>
      <c r="I251" t="s">
        <v>358</v>
      </c>
      <c r="J251" t="s">
        <v>138</v>
      </c>
      <c r="K251" t="s">
        <v>40</v>
      </c>
      <c r="L251">
        <v>12</v>
      </c>
      <c r="M251" s="5">
        <v>40354</v>
      </c>
      <c r="N251" s="5">
        <f>+M251*1.3</f>
        <v>52460.200000000004</v>
      </c>
      <c r="O251" s="2">
        <f>+N251-M251</f>
        <v>12106.200000000004</v>
      </c>
    </row>
    <row r="252" spans="1:15" x14ac:dyDescent="0.2">
      <c r="A252" t="s">
        <v>88</v>
      </c>
      <c r="B252">
        <v>1</v>
      </c>
      <c r="C252" t="s">
        <v>320</v>
      </c>
      <c r="D252" t="s">
        <v>89</v>
      </c>
      <c r="E252" t="s">
        <v>16</v>
      </c>
      <c r="F252" t="s">
        <v>16</v>
      </c>
      <c r="G252">
        <v>94</v>
      </c>
      <c r="H252" t="s">
        <v>359</v>
      </c>
      <c r="I252" t="s">
        <v>360</v>
      </c>
      <c r="J252" t="s">
        <v>135</v>
      </c>
      <c r="K252" t="s">
        <v>40</v>
      </c>
      <c r="L252">
        <v>12</v>
      </c>
      <c r="M252" s="5">
        <v>55028</v>
      </c>
      <c r="N252" s="5">
        <f>+M252*1.3</f>
        <v>71536.400000000009</v>
      </c>
      <c r="O252" s="2">
        <f>+N252-M252</f>
        <v>16508.400000000009</v>
      </c>
    </row>
    <row r="253" spans="1:15" x14ac:dyDescent="0.2">
      <c r="A253" t="s">
        <v>88</v>
      </c>
      <c r="B253">
        <v>1</v>
      </c>
      <c r="C253" t="s">
        <v>14</v>
      </c>
      <c r="D253" t="s">
        <v>89</v>
      </c>
      <c r="E253" t="s">
        <v>16</v>
      </c>
      <c r="F253" t="s">
        <v>16</v>
      </c>
      <c r="G253">
        <v>33</v>
      </c>
      <c r="H253" t="s">
        <v>361</v>
      </c>
      <c r="I253" t="s">
        <v>362</v>
      </c>
      <c r="J253" t="s">
        <v>26</v>
      </c>
      <c r="K253" t="s">
        <v>27</v>
      </c>
      <c r="L253">
        <v>6</v>
      </c>
      <c r="M253" s="5">
        <v>73903</v>
      </c>
      <c r="N253" s="5">
        <f>+M253*1.3</f>
        <v>96073.900000000009</v>
      </c>
      <c r="O253" s="2">
        <f>+N253-M253</f>
        <v>22170.900000000009</v>
      </c>
    </row>
    <row r="254" spans="1:15" x14ac:dyDescent="0.2">
      <c r="A254" t="s">
        <v>88</v>
      </c>
      <c r="B254">
        <v>1</v>
      </c>
      <c r="C254" t="s">
        <v>94</v>
      </c>
      <c r="D254" t="s">
        <v>89</v>
      </c>
      <c r="E254" t="s">
        <v>16</v>
      </c>
      <c r="F254" t="s">
        <v>16</v>
      </c>
      <c r="G254">
        <v>6</v>
      </c>
      <c r="H254" t="s">
        <v>363</v>
      </c>
      <c r="I254" t="s">
        <v>364</v>
      </c>
      <c r="J254" t="s">
        <v>255</v>
      </c>
      <c r="K254" t="s">
        <v>98</v>
      </c>
      <c r="L254">
        <v>24</v>
      </c>
      <c r="M254" s="5">
        <v>14476</v>
      </c>
      <c r="N254" s="5">
        <f>+M254*1.3</f>
        <v>18818.8</v>
      </c>
      <c r="O254" s="2">
        <f>+N254-M254</f>
        <v>4342.7999999999993</v>
      </c>
    </row>
    <row r="255" spans="1:15" x14ac:dyDescent="0.2">
      <c r="A255" t="s">
        <v>88</v>
      </c>
      <c r="B255">
        <v>1</v>
      </c>
      <c r="C255" t="s">
        <v>14</v>
      </c>
      <c r="D255" t="s">
        <v>89</v>
      </c>
      <c r="E255" t="s">
        <v>16</v>
      </c>
      <c r="F255" t="s">
        <v>16</v>
      </c>
      <c r="G255">
        <v>82</v>
      </c>
      <c r="H255" t="s">
        <v>365</v>
      </c>
      <c r="I255" t="s">
        <v>366</v>
      </c>
      <c r="J255" t="s">
        <v>138</v>
      </c>
      <c r="K255" t="s">
        <v>40</v>
      </c>
      <c r="L255">
        <v>12</v>
      </c>
      <c r="M255" s="5">
        <v>42362</v>
      </c>
      <c r="N255" s="5">
        <f>+M255*1.3</f>
        <v>55070.6</v>
      </c>
      <c r="O255" s="2">
        <f>+N255-M255</f>
        <v>12708.599999999999</v>
      </c>
    </row>
    <row r="256" spans="1:15" x14ac:dyDescent="0.2">
      <c r="A256" t="s">
        <v>88</v>
      </c>
      <c r="B256">
        <v>1</v>
      </c>
      <c r="C256" t="s">
        <v>94</v>
      </c>
      <c r="D256" t="s">
        <v>89</v>
      </c>
      <c r="E256" t="s">
        <v>16</v>
      </c>
      <c r="F256" t="s">
        <v>16</v>
      </c>
      <c r="G256">
        <v>50</v>
      </c>
      <c r="H256" t="s">
        <v>367</v>
      </c>
      <c r="I256" t="s">
        <v>368</v>
      </c>
      <c r="J256" t="s">
        <v>369</v>
      </c>
      <c r="K256" t="s">
        <v>40</v>
      </c>
      <c r="L256">
        <v>12</v>
      </c>
      <c r="M256" s="5">
        <v>26470</v>
      </c>
      <c r="N256" s="5">
        <f>+M256*1.3</f>
        <v>34411</v>
      </c>
      <c r="O256" s="2">
        <f>+N256-M256</f>
        <v>7941</v>
      </c>
    </row>
    <row r="257" spans="1:15" x14ac:dyDescent="0.2">
      <c r="A257" t="s">
        <v>28</v>
      </c>
      <c r="B257">
        <v>3</v>
      </c>
      <c r="C257" t="s">
        <v>126</v>
      </c>
      <c r="D257" t="s">
        <v>130</v>
      </c>
      <c r="E257" t="s">
        <v>16</v>
      </c>
      <c r="F257" t="s">
        <v>16</v>
      </c>
      <c r="G257">
        <v>8</v>
      </c>
      <c r="H257" t="s">
        <v>370</v>
      </c>
      <c r="I257" t="s">
        <v>371</v>
      </c>
      <c r="J257" t="s">
        <v>271</v>
      </c>
      <c r="K257" t="s">
        <v>181</v>
      </c>
      <c r="L257">
        <v>24</v>
      </c>
      <c r="M257" s="5">
        <v>51947</v>
      </c>
      <c r="N257" s="5">
        <f>+M257*1.3</f>
        <v>67531.100000000006</v>
      </c>
      <c r="O257" s="2">
        <f>+N257-M257</f>
        <v>15584.100000000006</v>
      </c>
    </row>
    <row r="258" spans="1:15" x14ac:dyDescent="0.2">
      <c r="A258" t="s">
        <v>88</v>
      </c>
      <c r="B258">
        <v>1</v>
      </c>
      <c r="C258" t="s">
        <v>320</v>
      </c>
      <c r="D258" t="s">
        <v>89</v>
      </c>
      <c r="E258" t="s">
        <v>16</v>
      </c>
      <c r="F258" t="s">
        <v>16</v>
      </c>
      <c r="G258">
        <v>36</v>
      </c>
      <c r="H258" t="s">
        <v>372</v>
      </c>
      <c r="I258" t="s">
        <v>373</v>
      </c>
      <c r="J258" t="s">
        <v>323</v>
      </c>
      <c r="K258" t="s">
        <v>40</v>
      </c>
      <c r="L258">
        <v>24</v>
      </c>
      <c r="M258" s="5">
        <v>46665</v>
      </c>
      <c r="N258" s="5">
        <f>+M258*1.3</f>
        <v>60664.5</v>
      </c>
      <c r="O258" s="2">
        <f>+N258-M258</f>
        <v>13999.5</v>
      </c>
    </row>
    <row r="259" spans="1:15" x14ac:dyDescent="0.2">
      <c r="A259" t="s">
        <v>88</v>
      </c>
      <c r="B259">
        <v>1</v>
      </c>
      <c r="C259" t="s">
        <v>14</v>
      </c>
      <c r="D259" t="s">
        <v>89</v>
      </c>
      <c r="E259" t="s">
        <v>16</v>
      </c>
      <c r="F259" t="s">
        <v>16</v>
      </c>
      <c r="G259">
        <v>98</v>
      </c>
      <c r="H259" t="s">
        <v>374</v>
      </c>
      <c r="I259" t="s">
        <v>375</v>
      </c>
      <c r="J259" t="s">
        <v>39</v>
      </c>
      <c r="K259" t="s">
        <v>40</v>
      </c>
      <c r="L259">
        <v>6</v>
      </c>
      <c r="M259" s="5">
        <v>34709</v>
      </c>
      <c r="N259" s="5">
        <f>+M259*1.3</f>
        <v>45121.700000000004</v>
      </c>
      <c r="O259" s="2">
        <f>+N259-M259</f>
        <v>10412.700000000004</v>
      </c>
    </row>
    <row r="260" spans="1:15" x14ac:dyDescent="0.2">
      <c r="A260" t="s">
        <v>13</v>
      </c>
      <c r="B260">
        <v>3</v>
      </c>
      <c r="C260" t="s">
        <v>22</v>
      </c>
      <c r="D260" t="s">
        <v>42</v>
      </c>
      <c r="E260" t="s">
        <v>16</v>
      </c>
      <c r="F260" t="s">
        <v>16</v>
      </c>
      <c r="G260">
        <v>1</v>
      </c>
      <c r="H260" t="s">
        <v>376</v>
      </c>
      <c r="I260" t="s">
        <v>377</v>
      </c>
      <c r="J260" t="s">
        <v>49</v>
      </c>
      <c r="K260" t="s">
        <v>50</v>
      </c>
      <c r="L260">
        <v>1</v>
      </c>
      <c r="M260" s="5">
        <v>37103</v>
      </c>
      <c r="N260" s="5">
        <f>+M260*1.3</f>
        <v>48233.9</v>
      </c>
      <c r="O260" s="2">
        <f>+N260-M260</f>
        <v>11130.900000000001</v>
      </c>
    </row>
    <row r="261" spans="1:15" x14ac:dyDescent="0.2">
      <c r="A261" t="s">
        <v>35</v>
      </c>
      <c r="B261">
        <v>1</v>
      </c>
      <c r="C261" t="s">
        <v>22</v>
      </c>
      <c r="D261" t="s">
        <v>42</v>
      </c>
      <c r="E261" t="s">
        <v>16</v>
      </c>
      <c r="F261" t="s">
        <v>16</v>
      </c>
      <c r="G261">
        <v>1</v>
      </c>
      <c r="H261" t="s">
        <v>376</v>
      </c>
      <c r="I261" t="s">
        <v>377</v>
      </c>
      <c r="J261" t="s">
        <v>49</v>
      </c>
      <c r="K261" t="s">
        <v>50</v>
      </c>
      <c r="L261">
        <v>1</v>
      </c>
      <c r="M261" s="5">
        <v>37103</v>
      </c>
      <c r="N261" s="5">
        <f>+M261*1.3</f>
        <v>48233.9</v>
      </c>
      <c r="O261" s="2">
        <f>+N261-M261</f>
        <v>11130.900000000001</v>
      </c>
    </row>
    <row r="262" spans="1:15" x14ac:dyDescent="0.2">
      <c r="A262" t="s">
        <v>21</v>
      </c>
      <c r="B262">
        <v>2</v>
      </c>
      <c r="C262" t="s">
        <v>22</v>
      </c>
      <c r="D262" t="s">
        <v>42</v>
      </c>
      <c r="E262" t="s">
        <v>16</v>
      </c>
      <c r="F262" t="s">
        <v>16</v>
      </c>
      <c r="G262">
        <v>1</v>
      </c>
      <c r="H262" t="s">
        <v>376</v>
      </c>
      <c r="I262" t="s">
        <v>377</v>
      </c>
      <c r="J262" t="s">
        <v>49</v>
      </c>
      <c r="K262" t="s">
        <v>50</v>
      </c>
      <c r="L262">
        <v>1</v>
      </c>
      <c r="M262" s="5">
        <v>37103</v>
      </c>
      <c r="N262" s="5">
        <f>+M262*1.3</f>
        <v>48233.9</v>
      </c>
      <c r="O262" s="2">
        <f>+N262-M262</f>
        <v>11130.900000000001</v>
      </c>
    </row>
    <row r="263" spans="1:15" x14ac:dyDescent="0.2">
      <c r="A263" t="s">
        <v>28</v>
      </c>
      <c r="B263">
        <v>1</v>
      </c>
      <c r="C263" t="s">
        <v>22</v>
      </c>
      <c r="D263" t="s">
        <v>42</v>
      </c>
      <c r="E263" t="s">
        <v>16</v>
      </c>
      <c r="F263" t="s">
        <v>16</v>
      </c>
      <c r="G263">
        <v>1</v>
      </c>
      <c r="H263" t="s">
        <v>376</v>
      </c>
      <c r="I263" t="s">
        <v>377</v>
      </c>
      <c r="J263" t="s">
        <v>49</v>
      </c>
      <c r="K263" t="s">
        <v>50</v>
      </c>
      <c r="L263">
        <v>1</v>
      </c>
      <c r="M263" s="5">
        <v>37103</v>
      </c>
      <c r="N263" s="5">
        <f>+M263*1.3</f>
        <v>48233.9</v>
      </c>
      <c r="O263" s="2">
        <f>+N263-M263</f>
        <v>11130.900000000001</v>
      </c>
    </row>
    <row r="264" spans="1:15" x14ac:dyDescent="0.2">
      <c r="A264" t="s">
        <v>35</v>
      </c>
      <c r="B264">
        <v>1</v>
      </c>
      <c r="C264" t="s">
        <v>14</v>
      </c>
      <c r="D264" t="s">
        <v>36</v>
      </c>
      <c r="E264" t="s">
        <v>16</v>
      </c>
      <c r="F264" t="s">
        <v>16</v>
      </c>
      <c r="G264">
        <v>2</v>
      </c>
      <c r="H264" t="s">
        <v>378</v>
      </c>
      <c r="I264" t="s">
        <v>379</v>
      </c>
      <c r="J264" t="s">
        <v>49</v>
      </c>
      <c r="K264" t="s">
        <v>50</v>
      </c>
      <c r="L264">
        <v>1</v>
      </c>
      <c r="M264" s="5">
        <v>48366</v>
      </c>
      <c r="N264" s="5">
        <f>+M264*1.3</f>
        <v>62875.8</v>
      </c>
      <c r="O264" s="2">
        <f>+N264-M264</f>
        <v>14509.800000000003</v>
      </c>
    </row>
    <row r="265" spans="1:15" x14ac:dyDescent="0.2">
      <c r="A265" t="s">
        <v>41</v>
      </c>
      <c r="B265">
        <v>1</v>
      </c>
      <c r="C265" t="s">
        <v>14</v>
      </c>
      <c r="D265" t="s">
        <v>36</v>
      </c>
      <c r="E265" t="s">
        <v>16</v>
      </c>
      <c r="F265" t="s">
        <v>16</v>
      </c>
      <c r="G265">
        <v>2</v>
      </c>
      <c r="H265" t="s">
        <v>378</v>
      </c>
      <c r="I265" t="s">
        <v>379</v>
      </c>
      <c r="J265" t="s">
        <v>49</v>
      </c>
      <c r="K265" t="s">
        <v>50</v>
      </c>
      <c r="L265">
        <v>1</v>
      </c>
      <c r="M265" s="5">
        <v>48366</v>
      </c>
      <c r="N265" s="5">
        <f>+M265*1.3</f>
        <v>62875.8</v>
      </c>
      <c r="O265" s="2">
        <f>+N265-M265</f>
        <v>14509.800000000003</v>
      </c>
    </row>
    <row r="266" spans="1:15" x14ac:dyDescent="0.2">
      <c r="A266" t="s">
        <v>21</v>
      </c>
      <c r="B266">
        <v>2</v>
      </c>
      <c r="C266" t="s">
        <v>14</v>
      </c>
      <c r="D266" t="s">
        <v>36</v>
      </c>
      <c r="E266" t="s">
        <v>16</v>
      </c>
      <c r="F266" t="s">
        <v>16</v>
      </c>
      <c r="G266">
        <v>2</v>
      </c>
      <c r="H266" t="s">
        <v>378</v>
      </c>
      <c r="I266" t="s">
        <v>379</v>
      </c>
      <c r="J266" t="s">
        <v>49</v>
      </c>
      <c r="K266" t="s">
        <v>50</v>
      </c>
      <c r="L266">
        <v>1</v>
      </c>
      <c r="M266" s="5">
        <v>48366</v>
      </c>
      <c r="N266" s="5">
        <f>+M266*1.3</f>
        <v>62875.8</v>
      </c>
      <c r="O266" s="2">
        <f>+N266-M266</f>
        <v>14509.800000000003</v>
      </c>
    </row>
    <row r="267" spans="1:15" x14ac:dyDescent="0.2">
      <c r="A267" t="s">
        <v>28</v>
      </c>
      <c r="B267">
        <v>1</v>
      </c>
      <c r="C267" t="s">
        <v>14</v>
      </c>
      <c r="D267" t="s">
        <v>36</v>
      </c>
      <c r="E267" t="s">
        <v>16</v>
      </c>
      <c r="F267" t="s">
        <v>16</v>
      </c>
      <c r="G267">
        <v>2</v>
      </c>
      <c r="H267" t="s">
        <v>378</v>
      </c>
      <c r="I267" t="s">
        <v>379</v>
      </c>
      <c r="J267" t="s">
        <v>49</v>
      </c>
      <c r="K267" t="s">
        <v>50</v>
      </c>
      <c r="L267">
        <v>1</v>
      </c>
      <c r="M267" s="5">
        <v>48366</v>
      </c>
      <c r="N267" s="5">
        <f>+M267*1.3</f>
        <v>62875.8</v>
      </c>
      <c r="O267" s="2">
        <f>+N267-M267</f>
        <v>14509.800000000003</v>
      </c>
    </row>
    <row r="268" spans="1:15" x14ac:dyDescent="0.2">
      <c r="A268" t="s">
        <v>88</v>
      </c>
      <c r="B268">
        <v>1</v>
      </c>
      <c r="C268" t="s">
        <v>14</v>
      </c>
      <c r="D268" t="s">
        <v>89</v>
      </c>
      <c r="E268" t="s">
        <v>16</v>
      </c>
      <c r="F268" t="s">
        <v>16</v>
      </c>
      <c r="G268">
        <v>97</v>
      </c>
      <c r="H268" t="s">
        <v>380</v>
      </c>
      <c r="I268" t="s">
        <v>381</v>
      </c>
      <c r="J268" t="s">
        <v>39</v>
      </c>
      <c r="K268" t="s">
        <v>40</v>
      </c>
      <c r="L268">
        <v>6</v>
      </c>
      <c r="M268" s="5">
        <v>32521</v>
      </c>
      <c r="N268" s="5">
        <f>+M268*1.3</f>
        <v>42277.3</v>
      </c>
      <c r="O268" s="2">
        <f>+N268-M268</f>
        <v>9756.3000000000029</v>
      </c>
    </row>
    <row r="269" spans="1:15" x14ac:dyDescent="0.2">
      <c r="A269" t="s">
        <v>41</v>
      </c>
      <c r="B269">
        <v>1</v>
      </c>
      <c r="C269" t="s">
        <v>14</v>
      </c>
      <c r="D269" t="s">
        <v>299</v>
      </c>
      <c r="E269" t="s">
        <v>16</v>
      </c>
      <c r="F269" t="s">
        <v>16</v>
      </c>
      <c r="G269">
        <v>1</v>
      </c>
      <c r="H269" t="s">
        <v>382</v>
      </c>
      <c r="I269" t="s">
        <v>383</v>
      </c>
      <c r="J269" t="s">
        <v>70</v>
      </c>
      <c r="K269" t="s">
        <v>50</v>
      </c>
      <c r="L269">
        <v>1</v>
      </c>
      <c r="M269" s="5">
        <v>53177</v>
      </c>
      <c r="N269" s="5">
        <f>+M269*1.3</f>
        <v>69130.100000000006</v>
      </c>
      <c r="O269" s="2">
        <f>+N269-M269</f>
        <v>15953.100000000006</v>
      </c>
    </row>
    <row r="270" spans="1:15" x14ac:dyDescent="0.2">
      <c r="A270" t="s">
        <v>88</v>
      </c>
      <c r="B270">
        <v>1</v>
      </c>
      <c r="C270" t="s">
        <v>94</v>
      </c>
      <c r="D270" t="s">
        <v>89</v>
      </c>
      <c r="E270" t="s">
        <v>16</v>
      </c>
      <c r="F270" t="s">
        <v>16</v>
      </c>
      <c r="G270">
        <v>5</v>
      </c>
      <c r="H270" t="s">
        <v>384</v>
      </c>
      <c r="I270" t="s">
        <v>385</v>
      </c>
      <c r="J270" t="s">
        <v>255</v>
      </c>
      <c r="K270" t="s">
        <v>98</v>
      </c>
      <c r="L270">
        <v>24</v>
      </c>
      <c r="M270" s="5">
        <v>14192</v>
      </c>
      <c r="N270" s="5">
        <f>+M270*1.3</f>
        <v>18449.600000000002</v>
      </c>
      <c r="O270" s="2">
        <f>+N270-M270</f>
        <v>4257.6000000000022</v>
      </c>
    </row>
    <row r="271" spans="1:15" x14ac:dyDescent="0.2">
      <c r="A271" t="s">
        <v>13</v>
      </c>
      <c r="B271">
        <v>1</v>
      </c>
      <c r="C271" t="s">
        <v>14</v>
      </c>
      <c r="D271" t="s">
        <v>29</v>
      </c>
      <c r="E271" t="s">
        <v>16</v>
      </c>
      <c r="F271" t="s">
        <v>16</v>
      </c>
      <c r="G271">
        <v>10</v>
      </c>
      <c r="H271" t="s">
        <v>386</v>
      </c>
      <c r="I271" t="s">
        <v>387</v>
      </c>
      <c r="J271" t="s">
        <v>39</v>
      </c>
      <c r="K271" t="s">
        <v>40</v>
      </c>
      <c r="L271">
        <v>6</v>
      </c>
      <c r="M271" s="5">
        <v>32843</v>
      </c>
      <c r="N271" s="5">
        <f>+M271*1.3</f>
        <v>42695.9</v>
      </c>
      <c r="O271" s="2">
        <f>+N271-M271</f>
        <v>9852.9000000000015</v>
      </c>
    </row>
    <row r="272" spans="1:15" x14ac:dyDescent="0.2">
      <c r="A272" t="s">
        <v>21</v>
      </c>
      <c r="B272">
        <v>1</v>
      </c>
      <c r="C272" t="s">
        <v>14</v>
      </c>
      <c r="D272" t="s">
        <v>29</v>
      </c>
      <c r="E272" t="s">
        <v>16</v>
      </c>
      <c r="F272" t="s">
        <v>16</v>
      </c>
      <c r="G272">
        <v>10</v>
      </c>
      <c r="H272" t="s">
        <v>386</v>
      </c>
      <c r="I272" t="s">
        <v>387</v>
      </c>
      <c r="J272" t="s">
        <v>39</v>
      </c>
      <c r="K272" t="s">
        <v>40</v>
      </c>
      <c r="L272">
        <v>6</v>
      </c>
      <c r="M272" s="5">
        <v>32843</v>
      </c>
      <c r="N272" s="5">
        <f>+M272*1.3</f>
        <v>42695.9</v>
      </c>
      <c r="O272" s="2">
        <f>+N272-M272</f>
        <v>9852.9000000000015</v>
      </c>
    </row>
    <row r="273" spans="1:15" x14ac:dyDescent="0.2">
      <c r="A273" t="s">
        <v>88</v>
      </c>
      <c r="B273">
        <v>1</v>
      </c>
      <c r="C273" t="s">
        <v>14</v>
      </c>
      <c r="D273" t="s">
        <v>89</v>
      </c>
      <c r="E273" t="s">
        <v>16</v>
      </c>
      <c r="F273" t="s">
        <v>16</v>
      </c>
      <c r="G273">
        <v>27</v>
      </c>
      <c r="H273" t="s">
        <v>388</v>
      </c>
      <c r="I273" t="s">
        <v>389</v>
      </c>
      <c r="J273" t="s">
        <v>333</v>
      </c>
      <c r="K273" t="s">
        <v>40</v>
      </c>
      <c r="L273">
        <v>30</v>
      </c>
      <c r="M273" s="5">
        <v>49904</v>
      </c>
      <c r="N273" s="5">
        <f>+M273*1.3</f>
        <v>64875.200000000004</v>
      </c>
      <c r="O273" s="2">
        <f>+N273-M273</f>
        <v>14971.200000000004</v>
      </c>
    </row>
    <row r="274" spans="1:15" x14ac:dyDescent="0.2">
      <c r="A274" t="s">
        <v>88</v>
      </c>
      <c r="B274">
        <v>1</v>
      </c>
      <c r="C274" t="s">
        <v>94</v>
      </c>
      <c r="D274" t="s">
        <v>89</v>
      </c>
      <c r="E274" t="s">
        <v>16</v>
      </c>
      <c r="F274" t="s">
        <v>16</v>
      </c>
      <c r="G274">
        <v>4</v>
      </c>
      <c r="H274" t="s">
        <v>390</v>
      </c>
      <c r="I274" t="s">
        <v>391</v>
      </c>
      <c r="J274" t="s">
        <v>255</v>
      </c>
      <c r="K274" t="s">
        <v>98</v>
      </c>
      <c r="L274">
        <v>24</v>
      </c>
      <c r="M274" s="5">
        <v>14107</v>
      </c>
      <c r="N274" s="5">
        <f>+M274*1.3</f>
        <v>18339.100000000002</v>
      </c>
      <c r="O274" s="2">
        <f>+N274-M274</f>
        <v>4232.1000000000022</v>
      </c>
    </row>
    <row r="275" spans="1:15" x14ac:dyDescent="0.2">
      <c r="A275" t="s">
        <v>13</v>
      </c>
      <c r="B275">
        <v>2</v>
      </c>
      <c r="C275" t="s">
        <v>22</v>
      </c>
      <c r="D275" t="s">
        <v>23</v>
      </c>
      <c r="E275" t="s">
        <v>16</v>
      </c>
      <c r="F275" t="s">
        <v>16</v>
      </c>
      <c r="G275">
        <v>8</v>
      </c>
      <c r="H275" t="s">
        <v>392</v>
      </c>
      <c r="I275" t="s">
        <v>393</v>
      </c>
      <c r="J275" t="s">
        <v>66</v>
      </c>
      <c r="K275" t="s">
        <v>27</v>
      </c>
      <c r="L275">
        <v>6</v>
      </c>
      <c r="M275" s="5">
        <v>62398</v>
      </c>
      <c r="N275" s="5">
        <f>+M275*1.3</f>
        <v>81117.400000000009</v>
      </c>
      <c r="O275" s="2">
        <f>+N275-M275</f>
        <v>18719.400000000009</v>
      </c>
    </row>
    <row r="276" spans="1:15" x14ac:dyDescent="0.2">
      <c r="A276" t="s">
        <v>21</v>
      </c>
      <c r="B276">
        <v>1</v>
      </c>
      <c r="C276" t="s">
        <v>22</v>
      </c>
      <c r="D276" t="s">
        <v>23</v>
      </c>
      <c r="E276" t="s">
        <v>16</v>
      </c>
      <c r="F276" t="s">
        <v>16</v>
      </c>
      <c r="G276">
        <v>8</v>
      </c>
      <c r="H276" t="s">
        <v>392</v>
      </c>
      <c r="I276" t="s">
        <v>393</v>
      </c>
      <c r="J276" t="s">
        <v>66</v>
      </c>
      <c r="K276" t="s">
        <v>27</v>
      </c>
      <c r="L276">
        <v>6</v>
      </c>
      <c r="M276" s="5">
        <v>62398</v>
      </c>
      <c r="N276" s="5">
        <f>+M276*1.3</f>
        <v>81117.400000000009</v>
      </c>
      <c r="O276" s="2">
        <f>+N276-M276</f>
        <v>18719.400000000009</v>
      </c>
    </row>
    <row r="277" spans="1:15" x14ac:dyDescent="0.2">
      <c r="A277" t="s">
        <v>28</v>
      </c>
      <c r="B277">
        <v>2</v>
      </c>
      <c r="C277" t="s">
        <v>22</v>
      </c>
      <c r="D277" t="s">
        <v>23</v>
      </c>
      <c r="E277" t="s">
        <v>16</v>
      </c>
      <c r="F277" t="s">
        <v>16</v>
      </c>
      <c r="G277">
        <v>8</v>
      </c>
      <c r="H277" t="s">
        <v>392</v>
      </c>
      <c r="I277" t="s">
        <v>393</v>
      </c>
      <c r="J277" t="s">
        <v>66</v>
      </c>
      <c r="K277" t="s">
        <v>27</v>
      </c>
      <c r="L277">
        <v>6</v>
      </c>
      <c r="M277" s="5">
        <v>62398</v>
      </c>
      <c r="N277" s="5">
        <f>+M277*1.3</f>
        <v>81117.400000000009</v>
      </c>
      <c r="O277" s="2">
        <f>+N277-M277</f>
        <v>18719.400000000009</v>
      </c>
    </row>
    <row r="278" spans="1:15" x14ac:dyDescent="0.2">
      <c r="A278" t="s">
        <v>13</v>
      </c>
      <c r="B278">
        <v>1</v>
      </c>
      <c r="C278" t="s">
        <v>14</v>
      </c>
      <c r="D278" t="s">
        <v>29</v>
      </c>
      <c r="E278" t="s">
        <v>16</v>
      </c>
      <c r="F278" t="s">
        <v>16</v>
      </c>
      <c r="G278">
        <v>9</v>
      </c>
      <c r="H278" t="s">
        <v>394</v>
      </c>
      <c r="I278" t="s">
        <v>395</v>
      </c>
      <c r="J278" t="s">
        <v>39</v>
      </c>
      <c r="K278" t="s">
        <v>40</v>
      </c>
      <c r="L278">
        <v>6</v>
      </c>
      <c r="M278" s="5">
        <v>29759</v>
      </c>
      <c r="N278" s="5">
        <f>+M278*1.3</f>
        <v>38686.700000000004</v>
      </c>
      <c r="O278" s="2">
        <f>+N278-M278</f>
        <v>8927.7000000000044</v>
      </c>
    </row>
    <row r="279" spans="1:15" x14ac:dyDescent="0.2">
      <c r="A279" t="s">
        <v>21</v>
      </c>
      <c r="B279">
        <v>1</v>
      </c>
      <c r="C279" t="s">
        <v>14</v>
      </c>
      <c r="D279" t="s">
        <v>29</v>
      </c>
      <c r="E279" t="s">
        <v>16</v>
      </c>
      <c r="F279" t="s">
        <v>16</v>
      </c>
      <c r="G279">
        <v>9</v>
      </c>
      <c r="H279" t="s">
        <v>394</v>
      </c>
      <c r="I279" t="s">
        <v>395</v>
      </c>
      <c r="J279" t="s">
        <v>39</v>
      </c>
      <c r="K279" t="s">
        <v>40</v>
      </c>
      <c r="L279">
        <v>6</v>
      </c>
      <c r="M279" s="5">
        <v>29759</v>
      </c>
      <c r="N279" s="5">
        <f>+M279*1.3</f>
        <v>38686.700000000004</v>
      </c>
      <c r="O279" s="2">
        <f>+N279-M279</f>
        <v>8927.7000000000044</v>
      </c>
    </row>
    <row r="280" spans="1:15" x14ac:dyDescent="0.2">
      <c r="A280" t="s">
        <v>88</v>
      </c>
      <c r="B280">
        <v>1</v>
      </c>
      <c r="C280" t="s">
        <v>94</v>
      </c>
      <c r="D280" t="s">
        <v>89</v>
      </c>
      <c r="E280" t="s">
        <v>16</v>
      </c>
      <c r="F280" t="s">
        <v>16</v>
      </c>
      <c r="G280">
        <v>12</v>
      </c>
      <c r="H280" t="s">
        <v>396</v>
      </c>
      <c r="I280" t="s">
        <v>397</v>
      </c>
      <c r="J280" t="s">
        <v>175</v>
      </c>
      <c r="K280" t="s">
        <v>98</v>
      </c>
      <c r="L280">
        <v>24</v>
      </c>
      <c r="M280" s="5">
        <v>31026</v>
      </c>
      <c r="N280" s="5">
        <f>+M280*1.3</f>
        <v>40333.800000000003</v>
      </c>
      <c r="O280" s="2">
        <f>+N280-M280</f>
        <v>9307.8000000000029</v>
      </c>
    </row>
    <row r="281" spans="1:15" x14ac:dyDescent="0.2">
      <c r="A281" t="s">
        <v>88</v>
      </c>
      <c r="B281">
        <v>1</v>
      </c>
      <c r="C281" t="s">
        <v>94</v>
      </c>
      <c r="D281" t="s">
        <v>89</v>
      </c>
      <c r="E281" t="s">
        <v>16</v>
      </c>
      <c r="F281" t="s">
        <v>16</v>
      </c>
      <c r="G281">
        <v>7</v>
      </c>
      <c r="H281" t="s">
        <v>398</v>
      </c>
      <c r="I281" t="s">
        <v>399</v>
      </c>
      <c r="J281" t="s">
        <v>255</v>
      </c>
      <c r="K281" t="s">
        <v>98</v>
      </c>
      <c r="L281">
        <v>24</v>
      </c>
      <c r="M281" s="5">
        <v>14698</v>
      </c>
      <c r="N281" s="5">
        <f>+M281*1.3</f>
        <v>19107.400000000001</v>
      </c>
      <c r="O281" s="2">
        <f>+N281-M281</f>
        <v>4409.4000000000015</v>
      </c>
    </row>
    <row r="282" spans="1:15" x14ac:dyDescent="0.2">
      <c r="A282" t="s">
        <v>13</v>
      </c>
      <c r="B282">
        <v>3</v>
      </c>
      <c r="C282" t="s">
        <v>126</v>
      </c>
      <c r="D282" t="s">
        <v>127</v>
      </c>
      <c r="E282" t="s">
        <v>16</v>
      </c>
      <c r="F282" t="s">
        <v>16</v>
      </c>
      <c r="G282">
        <v>3</v>
      </c>
      <c r="H282" t="s">
        <v>400</v>
      </c>
      <c r="I282" t="s">
        <v>401</v>
      </c>
      <c r="J282" t="s">
        <v>103</v>
      </c>
      <c r="K282" t="s">
        <v>50</v>
      </c>
      <c r="L282">
        <v>1</v>
      </c>
      <c r="M282" s="5">
        <v>76257</v>
      </c>
      <c r="N282" s="5">
        <f>+M282*1.3</f>
        <v>99134.1</v>
      </c>
      <c r="O282" s="2">
        <f>+N282-M282</f>
        <v>22877.100000000006</v>
      </c>
    </row>
    <row r="283" spans="1:15" x14ac:dyDescent="0.2">
      <c r="A283" t="s">
        <v>21</v>
      </c>
      <c r="B283">
        <v>2</v>
      </c>
      <c r="C283" t="s">
        <v>126</v>
      </c>
      <c r="D283" t="s">
        <v>127</v>
      </c>
      <c r="E283" t="s">
        <v>16</v>
      </c>
      <c r="F283" t="s">
        <v>16</v>
      </c>
      <c r="G283">
        <v>3</v>
      </c>
      <c r="H283" t="s">
        <v>400</v>
      </c>
      <c r="I283" t="s">
        <v>401</v>
      </c>
      <c r="J283" t="s">
        <v>103</v>
      </c>
      <c r="K283" t="s">
        <v>50</v>
      </c>
      <c r="L283">
        <v>1</v>
      </c>
      <c r="M283" s="5">
        <v>76257</v>
      </c>
      <c r="N283" s="5">
        <f>+M283*1.3</f>
        <v>99134.1</v>
      </c>
      <c r="O283" s="2">
        <f>+N283-M283</f>
        <v>22877.100000000006</v>
      </c>
    </row>
    <row r="284" spans="1:15" x14ac:dyDescent="0.2">
      <c r="A284" t="s">
        <v>28</v>
      </c>
      <c r="B284">
        <v>1</v>
      </c>
      <c r="C284" t="s">
        <v>126</v>
      </c>
      <c r="D284" t="s">
        <v>127</v>
      </c>
      <c r="E284" t="s">
        <v>16</v>
      </c>
      <c r="F284" t="s">
        <v>16</v>
      </c>
      <c r="G284">
        <v>3</v>
      </c>
      <c r="H284" t="s">
        <v>400</v>
      </c>
      <c r="I284" t="s">
        <v>401</v>
      </c>
      <c r="J284" t="s">
        <v>103</v>
      </c>
      <c r="K284" t="s">
        <v>50</v>
      </c>
      <c r="L284">
        <v>1</v>
      </c>
      <c r="M284" s="5">
        <v>76257</v>
      </c>
      <c r="N284" s="5">
        <f>+M284*1.3</f>
        <v>99134.1</v>
      </c>
      <c r="O284" s="2">
        <f>+N284-M284</f>
        <v>22877.100000000006</v>
      </c>
    </row>
    <row r="285" spans="1:15" x14ac:dyDescent="0.2">
      <c r="A285" t="s">
        <v>13</v>
      </c>
      <c r="B285">
        <v>3</v>
      </c>
      <c r="C285" t="s">
        <v>22</v>
      </c>
      <c r="D285" t="s">
        <v>23</v>
      </c>
      <c r="E285" t="s">
        <v>16</v>
      </c>
      <c r="F285" t="s">
        <v>16</v>
      </c>
      <c r="G285">
        <v>2</v>
      </c>
      <c r="H285" t="s">
        <v>402</v>
      </c>
      <c r="I285" t="s">
        <v>403</v>
      </c>
      <c r="J285" t="s">
        <v>49</v>
      </c>
      <c r="K285" t="s">
        <v>50</v>
      </c>
      <c r="L285">
        <v>1</v>
      </c>
      <c r="M285" s="5">
        <v>37198</v>
      </c>
      <c r="N285" s="5">
        <f>+M285*1.3</f>
        <v>48357.4</v>
      </c>
      <c r="O285" s="2">
        <f>+N285-M285</f>
        <v>11159.400000000001</v>
      </c>
    </row>
    <row r="286" spans="1:15" x14ac:dyDescent="0.2">
      <c r="A286" t="s">
        <v>21</v>
      </c>
      <c r="B286">
        <v>2</v>
      </c>
      <c r="C286" t="s">
        <v>22</v>
      </c>
      <c r="D286" t="s">
        <v>23</v>
      </c>
      <c r="E286" t="s">
        <v>16</v>
      </c>
      <c r="F286" t="s">
        <v>16</v>
      </c>
      <c r="G286">
        <v>2</v>
      </c>
      <c r="H286" t="s">
        <v>402</v>
      </c>
      <c r="I286" t="s">
        <v>403</v>
      </c>
      <c r="J286" t="s">
        <v>49</v>
      </c>
      <c r="K286" t="s">
        <v>50</v>
      </c>
      <c r="L286">
        <v>1</v>
      </c>
      <c r="M286" s="5">
        <v>37198</v>
      </c>
      <c r="N286" s="5">
        <f>+M286*1.3</f>
        <v>48357.4</v>
      </c>
      <c r="O286" s="2">
        <f>+N286-M286</f>
        <v>11159.400000000001</v>
      </c>
    </row>
    <row r="287" spans="1:15" x14ac:dyDescent="0.2">
      <c r="A287" t="s">
        <v>28</v>
      </c>
      <c r="B287">
        <v>1</v>
      </c>
      <c r="C287" t="s">
        <v>22</v>
      </c>
      <c r="D287" t="s">
        <v>23</v>
      </c>
      <c r="E287" t="s">
        <v>16</v>
      </c>
      <c r="F287" t="s">
        <v>16</v>
      </c>
      <c r="G287">
        <v>2</v>
      </c>
      <c r="H287" t="s">
        <v>402</v>
      </c>
      <c r="I287" t="s">
        <v>403</v>
      </c>
      <c r="J287" t="s">
        <v>49</v>
      </c>
      <c r="K287" t="s">
        <v>50</v>
      </c>
      <c r="L287">
        <v>1</v>
      </c>
      <c r="M287" s="5">
        <v>37198</v>
      </c>
      <c r="N287" s="5">
        <f>+M287*1.3</f>
        <v>48357.4</v>
      </c>
      <c r="O287" s="2">
        <f>+N287-M287</f>
        <v>11159.400000000001</v>
      </c>
    </row>
    <row r="288" spans="1:15" x14ac:dyDescent="0.2">
      <c r="A288" t="s">
        <v>88</v>
      </c>
      <c r="B288">
        <v>1</v>
      </c>
      <c r="C288" t="s">
        <v>94</v>
      </c>
      <c r="D288" t="s">
        <v>89</v>
      </c>
      <c r="E288" t="s">
        <v>16</v>
      </c>
      <c r="F288" t="s">
        <v>16</v>
      </c>
      <c r="G288">
        <v>16</v>
      </c>
      <c r="H288" t="s">
        <v>404</v>
      </c>
      <c r="I288" t="s">
        <v>405</v>
      </c>
      <c r="J288" t="s">
        <v>175</v>
      </c>
      <c r="K288" t="s">
        <v>98</v>
      </c>
      <c r="L288">
        <v>12</v>
      </c>
      <c r="M288" s="5">
        <v>16762</v>
      </c>
      <c r="N288" s="5">
        <f>+M288*1.3</f>
        <v>21790.600000000002</v>
      </c>
      <c r="O288" s="2">
        <f>+N288-M288</f>
        <v>5028.6000000000022</v>
      </c>
    </row>
    <row r="289" spans="1:15" x14ac:dyDescent="0.2">
      <c r="A289" t="s">
        <v>13</v>
      </c>
      <c r="B289">
        <v>2</v>
      </c>
      <c r="C289" t="s">
        <v>22</v>
      </c>
      <c r="D289" t="s">
        <v>42</v>
      </c>
      <c r="E289" t="s">
        <v>16</v>
      </c>
      <c r="F289" t="s">
        <v>16</v>
      </c>
      <c r="G289">
        <v>5</v>
      </c>
      <c r="H289" t="s">
        <v>406</v>
      </c>
      <c r="I289" t="s">
        <v>407</v>
      </c>
      <c r="J289" t="s">
        <v>66</v>
      </c>
      <c r="K289" t="s">
        <v>27</v>
      </c>
      <c r="L289">
        <v>6</v>
      </c>
      <c r="M289" s="5">
        <v>48157</v>
      </c>
      <c r="N289" s="5">
        <f>+M289*1.3</f>
        <v>62604.1</v>
      </c>
      <c r="O289" s="2">
        <f>+N289-M289</f>
        <v>14447.099999999999</v>
      </c>
    </row>
    <row r="290" spans="1:15" x14ac:dyDescent="0.2">
      <c r="A290" t="s">
        <v>35</v>
      </c>
      <c r="B290">
        <v>2</v>
      </c>
      <c r="C290" t="s">
        <v>22</v>
      </c>
      <c r="D290" t="s">
        <v>42</v>
      </c>
      <c r="E290" t="s">
        <v>16</v>
      </c>
      <c r="F290" t="s">
        <v>16</v>
      </c>
      <c r="G290">
        <v>5</v>
      </c>
      <c r="H290" t="s">
        <v>406</v>
      </c>
      <c r="I290" t="s">
        <v>407</v>
      </c>
      <c r="J290" t="s">
        <v>66</v>
      </c>
      <c r="K290" t="s">
        <v>27</v>
      </c>
      <c r="L290">
        <v>6</v>
      </c>
      <c r="M290" s="5">
        <v>48157</v>
      </c>
      <c r="N290" s="5">
        <f>+M290*1.3</f>
        <v>62604.1</v>
      </c>
      <c r="O290" s="2">
        <f>+N290-M290</f>
        <v>14447.099999999999</v>
      </c>
    </row>
    <row r="291" spans="1:15" x14ac:dyDescent="0.2">
      <c r="A291" t="s">
        <v>21</v>
      </c>
      <c r="B291">
        <v>1</v>
      </c>
      <c r="C291" t="s">
        <v>22</v>
      </c>
      <c r="D291" t="s">
        <v>42</v>
      </c>
      <c r="E291" t="s">
        <v>16</v>
      </c>
      <c r="F291" t="s">
        <v>16</v>
      </c>
      <c r="G291">
        <v>5</v>
      </c>
      <c r="H291" t="s">
        <v>406</v>
      </c>
      <c r="I291" t="s">
        <v>407</v>
      </c>
      <c r="J291" t="s">
        <v>66</v>
      </c>
      <c r="K291" t="s">
        <v>27</v>
      </c>
      <c r="L291">
        <v>6</v>
      </c>
      <c r="M291" s="5">
        <v>48157</v>
      </c>
      <c r="N291" s="5">
        <f>+M291*1.3</f>
        <v>62604.1</v>
      </c>
      <c r="O291" s="2">
        <f>+N291-M291</f>
        <v>14447.099999999999</v>
      </c>
    </row>
    <row r="292" spans="1:15" x14ac:dyDescent="0.2">
      <c r="A292" t="s">
        <v>28</v>
      </c>
      <c r="B292">
        <v>2</v>
      </c>
      <c r="C292" t="s">
        <v>22</v>
      </c>
      <c r="D292" t="s">
        <v>42</v>
      </c>
      <c r="E292" t="s">
        <v>16</v>
      </c>
      <c r="F292" t="s">
        <v>16</v>
      </c>
      <c r="G292">
        <v>5</v>
      </c>
      <c r="H292" t="s">
        <v>406</v>
      </c>
      <c r="I292" t="s">
        <v>407</v>
      </c>
      <c r="J292" t="s">
        <v>66</v>
      </c>
      <c r="K292" t="s">
        <v>27</v>
      </c>
      <c r="L292">
        <v>6</v>
      </c>
      <c r="M292" s="5">
        <v>48157</v>
      </c>
      <c r="N292" s="5">
        <f>+M292*1.3</f>
        <v>62604.1</v>
      </c>
      <c r="O292" s="2">
        <f>+N292-M292</f>
        <v>14447.099999999999</v>
      </c>
    </row>
    <row r="293" spans="1:15" x14ac:dyDescent="0.2">
      <c r="A293" t="s">
        <v>88</v>
      </c>
      <c r="B293">
        <v>1</v>
      </c>
      <c r="C293" t="s">
        <v>94</v>
      </c>
      <c r="D293" t="s">
        <v>89</v>
      </c>
      <c r="E293" t="s">
        <v>16</v>
      </c>
      <c r="F293" t="s">
        <v>16</v>
      </c>
      <c r="G293">
        <v>15</v>
      </c>
      <c r="H293" t="s">
        <v>408</v>
      </c>
      <c r="I293" t="s">
        <v>409</v>
      </c>
      <c r="J293" t="s">
        <v>39</v>
      </c>
      <c r="K293" t="s">
        <v>40</v>
      </c>
      <c r="L293">
        <v>12</v>
      </c>
      <c r="M293" s="5">
        <v>14760</v>
      </c>
      <c r="N293" s="5">
        <f>+M293*1.3</f>
        <v>19188</v>
      </c>
      <c r="O293" s="2">
        <f>+N293-M293</f>
        <v>4428</v>
      </c>
    </row>
    <row r="294" spans="1:15" x14ac:dyDescent="0.2">
      <c r="A294" t="s">
        <v>88</v>
      </c>
      <c r="B294">
        <v>1</v>
      </c>
      <c r="C294" t="s">
        <v>14</v>
      </c>
      <c r="D294" t="s">
        <v>89</v>
      </c>
      <c r="E294" t="s">
        <v>16</v>
      </c>
      <c r="F294" t="s">
        <v>16</v>
      </c>
      <c r="G294">
        <v>101</v>
      </c>
      <c r="H294" t="s">
        <v>410</v>
      </c>
      <c r="I294" t="s">
        <v>411</v>
      </c>
      <c r="J294" t="s">
        <v>39</v>
      </c>
      <c r="K294" t="s">
        <v>40</v>
      </c>
      <c r="L294">
        <v>12</v>
      </c>
      <c r="M294" s="5">
        <v>77064</v>
      </c>
      <c r="N294" s="5">
        <f>+M294*1.3</f>
        <v>100183.2</v>
      </c>
      <c r="O294" s="2">
        <f>+N294-M294</f>
        <v>23119.199999999997</v>
      </c>
    </row>
    <row r="295" spans="1:15" x14ac:dyDescent="0.2">
      <c r="A295" t="s">
        <v>35</v>
      </c>
      <c r="B295">
        <v>2</v>
      </c>
      <c r="C295" t="s">
        <v>14</v>
      </c>
      <c r="D295" t="s">
        <v>36</v>
      </c>
      <c r="E295" t="s">
        <v>16</v>
      </c>
      <c r="F295" t="s">
        <v>16</v>
      </c>
      <c r="G295">
        <v>5</v>
      </c>
      <c r="H295" t="s">
        <v>412</v>
      </c>
      <c r="I295" t="s">
        <v>413</v>
      </c>
      <c r="J295" t="s">
        <v>414</v>
      </c>
      <c r="K295" t="s">
        <v>27</v>
      </c>
      <c r="L295">
        <v>6</v>
      </c>
      <c r="M295" s="5">
        <v>75234</v>
      </c>
      <c r="N295" s="5">
        <f>+M295*1.3</f>
        <v>97804.2</v>
      </c>
      <c r="O295" s="2">
        <f>+N295-M295</f>
        <v>22570.199999999997</v>
      </c>
    </row>
    <row r="296" spans="1:15" x14ac:dyDescent="0.2">
      <c r="A296" t="s">
        <v>41</v>
      </c>
      <c r="B296">
        <v>2</v>
      </c>
      <c r="C296" t="s">
        <v>14</v>
      </c>
      <c r="D296" t="s">
        <v>36</v>
      </c>
      <c r="E296" t="s">
        <v>16</v>
      </c>
      <c r="F296" t="s">
        <v>16</v>
      </c>
      <c r="G296">
        <v>5</v>
      </c>
      <c r="H296" t="s">
        <v>412</v>
      </c>
      <c r="I296" t="s">
        <v>413</v>
      </c>
      <c r="J296" t="s">
        <v>414</v>
      </c>
      <c r="K296" t="s">
        <v>27</v>
      </c>
      <c r="L296">
        <v>6</v>
      </c>
      <c r="M296" s="5">
        <v>75234</v>
      </c>
      <c r="N296" s="5">
        <f>+M296*1.3</f>
        <v>97804.2</v>
      </c>
      <c r="O296" s="2">
        <f>+N296-M296</f>
        <v>22570.199999999997</v>
      </c>
    </row>
    <row r="297" spans="1:15" x14ac:dyDescent="0.2">
      <c r="A297" t="s">
        <v>21</v>
      </c>
      <c r="B297">
        <v>1</v>
      </c>
      <c r="C297" t="s">
        <v>14</v>
      </c>
      <c r="D297" t="s">
        <v>36</v>
      </c>
      <c r="E297" t="s">
        <v>16</v>
      </c>
      <c r="F297" t="s">
        <v>16</v>
      </c>
      <c r="G297">
        <v>5</v>
      </c>
      <c r="H297" t="s">
        <v>412</v>
      </c>
      <c r="I297" t="s">
        <v>413</v>
      </c>
      <c r="J297" t="s">
        <v>414</v>
      </c>
      <c r="K297" t="s">
        <v>27</v>
      </c>
      <c r="L297">
        <v>6</v>
      </c>
      <c r="M297" s="5">
        <v>75234</v>
      </c>
      <c r="N297" s="5">
        <f>+M297*1.3</f>
        <v>97804.2</v>
      </c>
      <c r="O297" s="2">
        <f>+N297-M297</f>
        <v>22570.199999999997</v>
      </c>
    </row>
    <row r="298" spans="1:15" x14ac:dyDescent="0.2">
      <c r="A298" t="s">
        <v>28</v>
      </c>
      <c r="B298">
        <v>2</v>
      </c>
      <c r="C298" t="s">
        <v>14</v>
      </c>
      <c r="D298" t="s">
        <v>36</v>
      </c>
      <c r="E298" t="s">
        <v>16</v>
      </c>
      <c r="F298" t="s">
        <v>16</v>
      </c>
      <c r="G298">
        <v>5</v>
      </c>
      <c r="H298" t="s">
        <v>412</v>
      </c>
      <c r="I298" t="s">
        <v>413</v>
      </c>
      <c r="J298" t="s">
        <v>414</v>
      </c>
      <c r="K298" t="s">
        <v>27</v>
      </c>
      <c r="L298">
        <v>6</v>
      </c>
      <c r="M298" s="5">
        <v>75234</v>
      </c>
      <c r="N298" s="5">
        <f>+M298*1.3</f>
        <v>97804.2</v>
      </c>
      <c r="O298" s="2">
        <f>+N298-M298</f>
        <v>22570.199999999997</v>
      </c>
    </row>
    <row r="299" spans="1:15" x14ac:dyDescent="0.2">
      <c r="A299" t="s">
        <v>88</v>
      </c>
      <c r="B299">
        <v>1</v>
      </c>
      <c r="C299" t="s">
        <v>94</v>
      </c>
      <c r="D299" t="s">
        <v>89</v>
      </c>
      <c r="E299" t="s">
        <v>16</v>
      </c>
      <c r="F299" t="s">
        <v>16</v>
      </c>
      <c r="G299">
        <v>29</v>
      </c>
      <c r="H299" t="s">
        <v>415</v>
      </c>
      <c r="I299" t="s">
        <v>416</v>
      </c>
      <c r="J299" t="s">
        <v>97</v>
      </c>
      <c r="K299" t="s">
        <v>98</v>
      </c>
      <c r="L299">
        <v>12</v>
      </c>
      <c r="M299" s="5">
        <v>32989</v>
      </c>
      <c r="N299" s="5">
        <f>+M299*1.3</f>
        <v>42885.700000000004</v>
      </c>
      <c r="O299" s="2">
        <f>+N299-M299</f>
        <v>9896.7000000000044</v>
      </c>
    </row>
    <row r="300" spans="1:15" x14ac:dyDescent="0.2">
      <c r="A300" t="s">
        <v>88</v>
      </c>
      <c r="B300">
        <v>1</v>
      </c>
      <c r="C300" t="s">
        <v>94</v>
      </c>
      <c r="D300" t="s">
        <v>89</v>
      </c>
      <c r="E300" t="s">
        <v>16</v>
      </c>
      <c r="F300" t="s">
        <v>16</v>
      </c>
      <c r="G300">
        <v>30</v>
      </c>
      <c r="H300" t="s">
        <v>417</v>
      </c>
      <c r="I300" t="s">
        <v>418</v>
      </c>
      <c r="J300" t="s">
        <v>97</v>
      </c>
      <c r="K300" t="s">
        <v>98</v>
      </c>
      <c r="L300">
        <v>1</v>
      </c>
      <c r="M300" s="5">
        <v>25229</v>
      </c>
      <c r="N300" s="5">
        <f>+M300*1.3</f>
        <v>32797.700000000004</v>
      </c>
      <c r="O300" s="2">
        <f>+N300-M300</f>
        <v>7568.7000000000044</v>
      </c>
    </row>
    <row r="301" spans="1:15" x14ac:dyDescent="0.2">
      <c r="A301" t="s">
        <v>88</v>
      </c>
      <c r="B301">
        <v>1</v>
      </c>
      <c r="C301" t="s">
        <v>94</v>
      </c>
      <c r="D301" t="s">
        <v>89</v>
      </c>
      <c r="E301" t="s">
        <v>16</v>
      </c>
      <c r="F301" t="s">
        <v>16</v>
      </c>
      <c r="G301">
        <v>25</v>
      </c>
      <c r="H301" t="s">
        <v>419</v>
      </c>
      <c r="I301" t="s">
        <v>420</v>
      </c>
      <c r="J301" t="s">
        <v>421</v>
      </c>
      <c r="K301" t="s">
        <v>40</v>
      </c>
      <c r="L301">
        <v>12</v>
      </c>
      <c r="M301" s="5">
        <v>19767</v>
      </c>
      <c r="N301" s="5">
        <f>+M301*1.3</f>
        <v>25697.100000000002</v>
      </c>
      <c r="O301" s="2">
        <f>+N301-M301</f>
        <v>5930.1000000000022</v>
      </c>
    </row>
    <row r="302" spans="1:15" x14ac:dyDescent="0.2">
      <c r="A302" t="s">
        <v>88</v>
      </c>
      <c r="B302">
        <v>1</v>
      </c>
      <c r="C302" t="s">
        <v>94</v>
      </c>
      <c r="D302" t="s">
        <v>89</v>
      </c>
      <c r="E302" t="s">
        <v>16</v>
      </c>
      <c r="F302" t="s">
        <v>16</v>
      </c>
      <c r="G302">
        <v>69</v>
      </c>
      <c r="H302" t="s">
        <v>422</v>
      </c>
      <c r="I302" t="s">
        <v>423</v>
      </c>
      <c r="J302" t="s">
        <v>39</v>
      </c>
      <c r="K302" t="s">
        <v>40</v>
      </c>
      <c r="L302">
        <v>12</v>
      </c>
      <c r="M302" s="5">
        <v>34236</v>
      </c>
      <c r="N302" s="5">
        <f>+M302*1.3</f>
        <v>44506.8</v>
      </c>
      <c r="O302" s="2">
        <f>+N302-M302</f>
        <v>10270.800000000003</v>
      </c>
    </row>
    <row r="303" spans="1:15" x14ac:dyDescent="0.2">
      <c r="A303" t="s">
        <v>88</v>
      </c>
      <c r="B303">
        <v>1</v>
      </c>
      <c r="C303" t="s">
        <v>94</v>
      </c>
      <c r="D303" t="s">
        <v>89</v>
      </c>
      <c r="E303" t="s">
        <v>16</v>
      </c>
      <c r="F303" t="s">
        <v>16</v>
      </c>
      <c r="G303">
        <v>3</v>
      </c>
      <c r="H303" t="s">
        <v>424</v>
      </c>
      <c r="I303" t="s">
        <v>425</v>
      </c>
      <c r="J303" t="s">
        <v>426</v>
      </c>
      <c r="K303" t="s">
        <v>181</v>
      </c>
      <c r="L303">
        <v>12</v>
      </c>
      <c r="M303" s="5">
        <v>31106</v>
      </c>
      <c r="N303" s="5">
        <f>+M303*1.3</f>
        <v>40437.800000000003</v>
      </c>
      <c r="O303" s="2">
        <f>+N303-M303</f>
        <v>9331.8000000000029</v>
      </c>
    </row>
    <row r="304" spans="1:15" x14ac:dyDescent="0.2">
      <c r="A304" t="s">
        <v>88</v>
      </c>
      <c r="B304">
        <v>1</v>
      </c>
      <c r="C304" t="s">
        <v>14</v>
      </c>
      <c r="D304" t="s">
        <v>89</v>
      </c>
      <c r="E304" t="s">
        <v>16</v>
      </c>
      <c r="F304" t="s">
        <v>16</v>
      </c>
      <c r="G304">
        <v>1</v>
      </c>
      <c r="H304" t="s">
        <v>427</v>
      </c>
      <c r="I304" t="s">
        <v>428</v>
      </c>
      <c r="J304" t="s">
        <v>429</v>
      </c>
      <c r="K304" t="s">
        <v>430</v>
      </c>
      <c r="L304">
        <v>1</v>
      </c>
      <c r="M304" s="5">
        <v>348</v>
      </c>
      <c r="N304" s="5">
        <f>+M304*1.3</f>
        <v>452.40000000000003</v>
      </c>
      <c r="O304" s="2">
        <f>+N304-M304</f>
        <v>104.40000000000003</v>
      </c>
    </row>
    <row r="305" spans="1:15" x14ac:dyDescent="0.2">
      <c r="A305" t="s">
        <v>88</v>
      </c>
      <c r="B305">
        <v>1</v>
      </c>
      <c r="C305" t="s">
        <v>14</v>
      </c>
      <c r="D305" t="s">
        <v>89</v>
      </c>
      <c r="E305" t="s">
        <v>16</v>
      </c>
      <c r="F305" t="s">
        <v>16</v>
      </c>
      <c r="G305">
        <v>28</v>
      </c>
      <c r="H305" t="s">
        <v>431</v>
      </c>
      <c r="I305" t="s">
        <v>432</v>
      </c>
      <c r="J305" t="s">
        <v>333</v>
      </c>
      <c r="K305" t="s">
        <v>40</v>
      </c>
      <c r="L305">
        <v>1</v>
      </c>
      <c r="M305" s="5">
        <v>1674</v>
      </c>
      <c r="N305" s="5">
        <f>+M305*1.3</f>
        <v>2176.2000000000003</v>
      </c>
      <c r="O305" s="2">
        <f>+N305-M305</f>
        <v>502.20000000000027</v>
      </c>
    </row>
    <row r="306" spans="1:15" x14ac:dyDescent="0.2">
      <c r="A306" t="s">
        <v>88</v>
      </c>
      <c r="B306">
        <v>1</v>
      </c>
      <c r="C306" t="s">
        <v>14</v>
      </c>
      <c r="D306" t="s">
        <v>89</v>
      </c>
      <c r="E306" t="s">
        <v>16</v>
      </c>
      <c r="F306" t="s">
        <v>16</v>
      </c>
      <c r="G306">
        <v>29</v>
      </c>
      <c r="H306" t="s">
        <v>433</v>
      </c>
      <c r="I306" t="s">
        <v>434</v>
      </c>
      <c r="J306" t="s">
        <v>333</v>
      </c>
      <c r="K306" t="s">
        <v>40</v>
      </c>
      <c r="L306">
        <v>1</v>
      </c>
      <c r="M306" s="5">
        <v>1688</v>
      </c>
      <c r="N306" s="5">
        <f>+M306*1.3</f>
        <v>2194.4</v>
      </c>
      <c r="O306" s="2">
        <f>+N306-M306</f>
        <v>506.40000000000009</v>
      </c>
    </row>
    <row r="307" spans="1:15" x14ac:dyDescent="0.2">
      <c r="A307" t="s">
        <v>35</v>
      </c>
      <c r="B307">
        <v>3</v>
      </c>
      <c r="C307" t="s">
        <v>14</v>
      </c>
      <c r="D307" t="s">
        <v>36</v>
      </c>
      <c r="E307" t="s">
        <v>16</v>
      </c>
      <c r="F307" t="s">
        <v>16</v>
      </c>
      <c r="G307">
        <v>12</v>
      </c>
      <c r="H307" t="s">
        <v>435</v>
      </c>
      <c r="I307" t="s">
        <v>436</v>
      </c>
      <c r="J307" t="s">
        <v>53</v>
      </c>
      <c r="K307" t="s">
        <v>40</v>
      </c>
      <c r="L307">
        <v>1</v>
      </c>
      <c r="M307" s="5">
        <v>3716</v>
      </c>
      <c r="N307" s="5">
        <f>+M307*1.3</f>
        <v>4830.8</v>
      </c>
      <c r="O307" s="2">
        <f>+N307-M307</f>
        <v>1114.8000000000002</v>
      </c>
    </row>
    <row r="308" spans="1:15" x14ac:dyDescent="0.2">
      <c r="A308" t="s">
        <v>41</v>
      </c>
      <c r="B308">
        <v>3</v>
      </c>
      <c r="C308" t="s">
        <v>14</v>
      </c>
      <c r="D308" t="s">
        <v>36</v>
      </c>
      <c r="E308" t="s">
        <v>16</v>
      </c>
      <c r="F308" t="s">
        <v>16</v>
      </c>
      <c r="G308">
        <v>12</v>
      </c>
      <c r="H308" t="s">
        <v>435</v>
      </c>
      <c r="I308" t="s">
        <v>436</v>
      </c>
      <c r="J308" t="s">
        <v>53</v>
      </c>
      <c r="K308" t="s">
        <v>40</v>
      </c>
      <c r="L308">
        <v>1</v>
      </c>
      <c r="M308" s="5">
        <v>3716</v>
      </c>
      <c r="N308" s="5">
        <f>+M308*1.3</f>
        <v>4830.8</v>
      </c>
      <c r="O308" s="2">
        <f>+N308-M308</f>
        <v>1114.8000000000002</v>
      </c>
    </row>
    <row r="309" spans="1:15" x14ac:dyDescent="0.2">
      <c r="A309" t="s">
        <v>21</v>
      </c>
      <c r="B309">
        <v>1</v>
      </c>
      <c r="C309" t="s">
        <v>14</v>
      </c>
      <c r="D309" t="s">
        <v>36</v>
      </c>
      <c r="E309" t="s">
        <v>16</v>
      </c>
      <c r="F309" t="s">
        <v>16</v>
      </c>
      <c r="G309">
        <v>12</v>
      </c>
      <c r="H309" t="s">
        <v>435</v>
      </c>
      <c r="I309" t="s">
        <v>436</v>
      </c>
      <c r="J309" t="s">
        <v>53</v>
      </c>
      <c r="K309" t="s">
        <v>40</v>
      </c>
      <c r="L309">
        <v>1</v>
      </c>
      <c r="M309" s="5">
        <v>3716</v>
      </c>
      <c r="N309" s="5">
        <f>+M309*1.3</f>
        <v>4830.8</v>
      </c>
      <c r="O309" s="2">
        <f>+N309-M309</f>
        <v>1114.8000000000002</v>
      </c>
    </row>
    <row r="310" spans="1:15" x14ac:dyDescent="0.2">
      <c r="A310" t="s">
        <v>28</v>
      </c>
      <c r="B310">
        <v>3</v>
      </c>
      <c r="C310" t="s">
        <v>14</v>
      </c>
      <c r="D310" t="s">
        <v>36</v>
      </c>
      <c r="E310" t="s">
        <v>16</v>
      </c>
      <c r="F310" t="s">
        <v>16</v>
      </c>
      <c r="G310">
        <v>12</v>
      </c>
      <c r="H310" t="s">
        <v>435</v>
      </c>
      <c r="I310" t="s">
        <v>436</v>
      </c>
      <c r="J310" t="s">
        <v>53</v>
      </c>
      <c r="K310" t="s">
        <v>40</v>
      </c>
      <c r="L310">
        <v>1</v>
      </c>
      <c r="M310" s="5">
        <v>3716</v>
      </c>
      <c r="N310" s="5">
        <f>+M310*1.3</f>
        <v>4830.8</v>
      </c>
      <c r="O310" s="2">
        <f>+N310-M310</f>
        <v>1114.8000000000002</v>
      </c>
    </row>
    <row r="311" spans="1:15" x14ac:dyDescent="0.2">
      <c r="A311" t="s">
        <v>35</v>
      </c>
      <c r="B311">
        <v>2</v>
      </c>
      <c r="C311" t="s">
        <v>14</v>
      </c>
      <c r="D311" t="s">
        <v>36</v>
      </c>
      <c r="E311" t="s">
        <v>16</v>
      </c>
      <c r="F311" t="s">
        <v>16</v>
      </c>
      <c r="G311">
        <v>1</v>
      </c>
      <c r="H311" t="s">
        <v>437</v>
      </c>
      <c r="I311" t="s">
        <v>438</v>
      </c>
      <c r="J311" t="s">
        <v>414</v>
      </c>
      <c r="K311" t="s">
        <v>27</v>
      </c>
      <c r="L311">
        <v>1</v>
      </c>
      <c r="M311" s="5">
        <v>11014</v>
      </c>
      <c r="N311" s="5">
        <f>+M311*1.3</f>
        <v>14318.2</v>
      </c>
      <c r="O311" s="2">
        <f>+N311-M311</f>
        <v>3304.2000000000007</v>
      </c>
    </row>
    <row r="312" spans="1:15" x14ac:dyDescent="0.2">
      <c r="A312" t="s">
        <v>41</v>
      </c>
      <c r="B312">
        <v>2</v>
      </c>
      <c r="C312" t="s">
        <v>14</v>
      </c>
      <c r="D312" t="s">
        <v>36</v>
      </c>
      <c r="E312" t="s">
        <v>16</v>
      </c>
      <c r="F312" t="s">
        <v>16</v>
      </c>
      <c r="G312">
        <v>1</v>
      </c>
      <c r="H312" t="s">
        <v>437</v>
      </c>
      <c r="I312" t="s">
        <v>438</v>
      </c>
      <c r="J312" t="s">
        <v>414</v>
      </c>
      <c r="K312" t="s">
        <v>27</v>
      </c>
      <c r="L312">
        <v>1</v>
      </c>
      <c r="M312" s="5">
        <v>11014</v>
      </c>
      <c r="N312" s="5">
        <f>+M312*1.3</f>
        <v>14318.2</v>
      </c>
      <c r="O312" s="2">
        <f>+N312-M312</f>
        <v>3304.2000000000007</v>
      </c>
    </row>
    <row r="313" spans="1:15" x14ac:dyDescent="0.2">
      <c r="A313" t="s">
        <v>21</v>
      </c>
      <c r="B313">
        <v>1</v>
      </c>
      <c r="C313" t="s">
        <v>14</v>
      </c>
      <c r="D313" t="s">
        <v>36</v>
      </c>
      <c r="E313" t="s">
        <v>16</v>
      </c>
      <c r="F313" t="s">
        <v>16</v>
      </c>
      <c r="G313">
        <v>1</v>
      </c>
      <c r="H313" t="s">
        <v>437</v>
      </c>
      <c r="I313" t="s">
        <v>438</v>
      </c>
      <c r="J313" t="s">
        <v>414</v>
      </c>
      <c r="K313" t="s">
        <v>27</v>
      </c>
      <c r="L313">
        <v>1</v>
      </c>
      <c r="M313" s="5">
        <v>11014</v>
      </c>
      <c r="N313" s="5">
        <f>+M313*1.3</f>
        <v>14318.2</v>
      </c>
      <c r="O313" s="2">
        <f>+N313-M313</f>
        <v>3304.2000000000007</v>
      </c>
    </row>
    <row r="314" spans="1:15" x14ac:dyDescent="0.2">
      <c r="A314" t="s">
        <v>28</v>
      </c>
      <c r="B314">
        <v>2</v>
      </c>
      <c r="C314" t="s">
        <v>14</v>
      </c>
      <c r="D314" t="s">
        <v>36</v>
      </c>
      <c r="E314" t="s">
        <v>16</v>
      </c>
      <c r="F314" t="s">
        <v>16</v>
      </c>
      <c r="G314">
        <v>1</v>
      </c>
      <c r="H314" t="s">
        <v>437</v>
      </c>
      <c r="I314" t="s">
        <v>438</v>
      </c>
      <c r="J314" t="s">
        <v>414</v>
      </c>
      <c r="K314" t="s">
        <v>27</v>
      </c>
      <c r="L314">
        <v>1</v>
      </c>
      <c r="M314" s="5">
        <v>11014</v>
      </c>
      <c r="N314" s="5">
        <f>+M314*1.3</f>
        <v>14318.2</v>
      </c>
      <c r="O314" s="2">
        <f>+N314-M314</f>
        <v>3304.2000000000007</v>
      </c>
    </row>
    <row r="315" spans="1:15" x14ac:dyDescent="0.2">
      <c r="A315" t="s">
        <v>35</v>
      </c>
      <c r="B315">
        <v>3</v>
      </c>
      <c r="C315" t="s">
        <v>14</v>
      </c>
      <c r="D315" t="s">
        <v>36</v>
      </c>
      <c r="E315" t="s">
        <v>16</v>
      </c>
      <c r="F315" t="s">
        <v>16</v>
      </c>
      <c r="G315">
        <v>9</v>
      </c>
      <c r="H315" t="s">
        <v>439</v>
      </c>
      <c r="I315" t="s">
        <v>440</v>
      </c>
      <c r="J315" t="s">
        <v>60</v>
      </c>
      <c r="K315" t="s">
        <v>40</v>
      </c>
      <c r="L315">
        <v>1</v>
      </c>
      <c r="M315" s="5">
        <v>3401</v>
      </c>
      <c r="N315" s="5">
        <f>+M315*1.3</f>
        <v>4421.3</v>
      </c>
      <c r="O315" s="2">
        <f>+N315-M315</f>
        <v>1020.3000000000002</v>
      </c>
    </row>
    <row r="316" spans="1:15" x14ac:dyDescent="0.2">
      <c r="A316" t="s">
        <v>41</v>
      </c>
      <c r="B316">
        <v>3</v>
      </c>
      <c r="C316" t="s">
        <v>14</v>
      </c>
      <c r="D316" t="s">
        <v>36</v>
      </c>
      <c r="E316" t="s">
        <v>16</v>
      </c>
      <c r="F316" t="s">
        <v>16</v>
      </c>
      <c r="G316">
        <v>9</v>
      </c>
      <c r="H316" t="s">
        <v>439</v>
      </c>
      <c r="I316" t="s">
        <v>440</v>
      </c>
      <c r="J316" t="s">
        <v>60</v>
      </c>
      <c r="K316" t="s">
        <v>40</v>
      </c>
      <c r="L316">
        <v>1</v>
      </c>
      <c r="M316" s="5">
        <v>3401</v>
      </c>
      <c r="N316" s="5">
        <f>+M316*1.3</f>
        <v>4421.3</v>
      </c>
      <c r="O316" s="2">
        <f>+N316-M316</f>
        <v>1020.3000000000002</v>
      </c>
    </row>
    <row r="317" spans="1:15" x14ac:dyDescent="0.2">
      <c r="A317" t="s">
        <v>21</v>
      </c>
      <c r="B317">
        <v>1</v>
      </c>
      <c r="C317" t="s">
        <v>14</v>
      </c>
      <c r="D317" t="s">
        <v>36</v>
      </c>
      <c r="E317" t="s">
        <v>16</v>
      </c>
      <c r="F317" t="s">
        <v>16</v>
      </c>
      <c r="G317">
        <v>9</v>
      </c>
      <c r="H317" t="s">
        <v>439</v>
      </c>
      <c r="I317" t="s">
        <v>440</v>
      </c>
      <c r="J317" t="s">
        <v>60</v>
      </c>
      <c r="K317" t="s">
        <v>40</v>
      </c>
      <c r="L317">
        <v>1</v>
      </c>
      <c r="M317" s="5">
        <v>3401</v>
      </c>
      <c r="N317" s="5">
        <f>+M317*1.3</f>
        <v>4421.3</v>
      </c>
      <c r="O317" s="2">
        <f>+N317-M317</f>
        <v>1020.3000000000002</v>
      </c>
    </row>
    <row r="318" spans="1:15" x14ac:dyDescent="0.2">
      <c r="A318" t="s">
        <v>28</v>
      </c>
      <c r="B318">
        <v>3</v>
      </c>
      <c r="C318" t="s">
        <v>14</v>
      </c>
      <c r="D318" t="s">
        <v>36</v>
      </c>
      <c r="E318" t="s">
        <v>16</v>
      </c>
      <c r="F318" t="s">
        <v>16</v>
      </c>
      <c r="G318">
        <v>9</v>
      </c>
      <c r="H318" t="s">
        <v>439</v>
      </c>
      <c r="I318" t="s">
        <v>440</v>
      </c>
      <c r="J318" t="s">
        <v>60</v>
      </c>
      <c r="K318" t="s">
        <v>40</v>
      </c>
      <c r="L318">
        <v>1</v>
      </c>
      <c r="M318" s="5">
        <v>3401</v>
      </c>
      <c r="N318" s="5">
        <f>+M318*1.3</f>
        <v>4421.3</v>
      </c>
      <c r="O318" s="2">
        <f>+N318-M318</f>
        <v>1020.3000000000002</v>
      </c>
    </row>
    <row r="319" spans="1:15" x14ac:dyDescent="0.2">
      <c r="A319" t="s">
        <v>35</v>
      </c>
      <c r="B319">
        <v>3</v>
      </c>
      <c r="C319" t="s">
        <v>14</v>
      </c>
      <c r="D319" t="s">
        <v>36</v>
      </c>
      <c r="E319" t="s">
        <v>16</v>
      </c>
      <c r="F319" t="s">
        <v>16</v>
      </c>
      <c r="G319">
        <v>7</v>
      </c>
      <c r="H319" t="s">
        <v>441</v>
      </c>
      <c r="I319" t="s">
        <v>442</v>
      </c>
      <c r="J319" t="s">
        <v>60</v>
      </c>
      <c r="K319" t="s">
        <v>40</v>
      </c>
      <c r="L319">
        <v>1</v>
      </c>
      <c r="M319" s="5">
        <v>3343</v>
      </c>
      <c r="N319" s="5">
        <f>+M319*1.3</f>
        <v>4345.9000000000005</v>
      </c>
      <c r="O319" s="2">
        <f>+N319-M319</f>
        <v>1002.9000000000005</v>
      </c>
    </row>
    <row r="320" spans="1:15" x14ac:dyDescent="0.2">
      <c r="A320" t="s">
        <v>41</v>
      </c>
      <c r="B320">
        <v>3</v>
      </c>
      <c r="C320" t="s">
        <v>14</v>
      </c>
      <c r="D320" t="s">
        <v>36</v>
      </c>
      <c r="E320" t="s">
        <v>16</v>
      </c>
      <c r="F320" t="s">
        <v>16</v>
      </c>
      <c r="G320">
        <v>7</v>
      </c>
      <c r="H320" t="s">
        <v>441</v>
      </c>
      <c r="I320" t="s">
        <v>442</v>
      </c>
      <c r="J320" t="s">
        <v>60</v>
      </c>
      <c r="K320" t="s">
        <v>40</v>
      </c>
      <c r="L320">
        <v>1</v>
      </c>
      <c r="M320" s="5">
        <v>3343</v>
      </c>
      <c r="N320" s="5">
        <f>+M320*1.3</f>
        <v>4345.9000000000005</v>
      </c>
      <c r="O320" s="2">
        <f>+N320-M320</f>
        <v>1002.9000000000005</v>
      </c>
    </row>
    <row r="321" spans="1:15" x14ac:dyDescent="0.2">
      <c r="A321" t="s">
        <v>21</v>
      </c>
      <c r="B321">
        <v>1</v>
      </c>
      <c r="C321" t="s">
        <v>14</v>
      </c>
      <c r="D321" t="s">
        <v>36</v>
      </c>
      <c r="E321" t="s">
        <v>16</v>
      </c>
      <c r="F321" t="s">
        <v>16</v>
      </c>
      <c r="G321">
        <v>7</v>
      </c>
      <c r="H321" t="s">
        <v>441</v>
      </c>
      <c r="I321" t="s">
        <v>442</v>
      </c>
      <c r="J321" t="s">
        <v>60</v>
      </c>
      <c r="K321" t="s">
        <v>40</v>
      </c>
      <c r="L321">
        <v>1</v>
      </c>
      <c r="M321" s="5">
        <v>3343</v>
      </c>
      <c r="N321" s="5">
        <f>+M321*1.3</f>
        <v>4345.9000000000005</v>
      </c>
      <c r="O321" s="2">
        <f>+N321-M321</f>
        <v>1002.9000000000005</v>
      </c>
    </row>
    <row r="322" spans="1:15" x14ac:dyDescent="0.2">
      <c r="A322" t="s">
        <v>28</v>
      </c>
      <c r="B322">
        <v>3</v>
      </c>
      <c r="C322" t="s">
        <v>14</v>
      </c>
      <c r="D322" t="s">
        <v>36</v>
      </c>
      <c r="E322" t="s">
        <v>16</v>
      </c>
      <c r="F322" t="s">
        <v>16</v>
      </c>
      <c r="G322">
        <v>7</v>
      </c>
      <c r="H322" t="s">
        <v>441</v>
      </c>
      <c r="I322" t="s">
        <v>442</v>
      </c>
      <c r="J322" t="s">
        <v>60</v>
      </c>
      <c r="K322" t="s">
        <v>40</v>
      </c>
      <c r="L322">
        <v>1</v>
      </c>
      <c r="M322" s="5">
        <v>3343</v>
      </c>
      <c r="N322" s="5">
        <f>+M322*1.3</f>
        <v>4345.9000000000005</v>
      </c>
      <c r="O322" s="2">
        <f>+N322-M322</f>
        <v>1002.9000000000005</v>
      </c>
    </row>
    <row r="323" spans="1:15" x14ac:dyDescent="0.2">
      <c r="A323" t="s">
        <v>35</v>
      </c>
      <c r="B323">
        <v>2</v>
      </c>
      <c r="C323" t="s">
        <v>14</v>
      </c>
      <c r="D323" t="s">
        <v>36</v>
      </c>
      <c r="E323" t="s">
        <v>16</v>
      </c>
      <c r="F323" t="s">
        <v>16</v>
      </c>
      <c r="G323">
        <v>3</v>
      </c>
      <c r="H323" t="s">
        <v>443</v>
      </c>
      <c r="I323" t="s">
        <v>444</v>
      </c>
      <c r="J323" t="s">
        <v>26</v>
      </c>
      <c r="K323" t="s">
        <v>27</v>
      </c>
      <c r="L323">
        <v>1</v>
      </c>
      <c r="M323" s="5">
        <v>11434</v>
      </c>
      <c r="N323" s="5">
        <f>+M323*1.3</f>
        <v>14864.2</v>
      </c>
      <c r="O323" s="2">
        <f>+N323-M323</f>
        <v>3430.2000000000007</v>
      </c>
    </row>
    <row r="324" spans="1:15" x14ac:dyDescent="0.2">
      <c r="A324" t="s">
        <v>41</v>
      </c>
      <c r="B324">
        <v>2</v>
      </c>
      <c r="C324" t="s">
        <v>14</v>
      </c>
      <c r="D324" t="s">
        <v>36</v>
      </c>
      <c r="E324" t="s">
        <v>16</v>
      </c>
      <c r="F324" t="s">
        <v>16</v>
      </c>
      <c r="G324">
        <v>3</v>
      </c>
      <c r="H324" t="s">
        <v>443</v>
      </c>
      <c r="I324" t="s">
        <v>444</v>
      </c>
      <c r="J324" t="s">
        <v>26</v>
      </c>
      <c r="K324" t="s">
        <v>27</v>
      </c>
      <c r="L324">
        <v>1</v>
      </c>
      <c r="M324" s="5">
        <v>11434</v>
      </c>
      <c r="N324" s="5">
        <f>+M324*1.3</f>
        <v>14864.2</v>
      </c>
      <c r="O324" s="2">
        <f>+N324-M324</f>
        <v>3430.2000000000007</v>
      </c>
    </row>
    <row r="325" spans="1:15" x14ac:dyDescent="0.2">
      <c r="A325" t="s">
        <v>21</v>
      </c>
      <c r="B325">
        <v>1</v>
      </c>
      <c r="C325" t="s">
        <v>14</v>
      </c>
      <c r="D325" t="s">
        <v>36</v>
      </c>
      <c r="E325" t="s">
        <v>16</v>
      </c>
      <c r="F325" t="s">
        <v>16</v>
      </c>
      <c r="G325">
        <v>3</v>
      </c>
      <c r="H325" t="s">
        <v>443</v>
      </c>
      <c r="I325" t="s">
        <v>444</v>
      </c>
      <c r="J325" t="s">
        <v>26</v>
      </c>
      <c r="K325" t="s">
        <v>27</v>
      </c>
      <c r="L325">
        <v>1</v>
      </c>
      <c r="M325" s="5">
        <v>11434</v>
      </c>
      <c r="N325" s="5">
        <f>+M325*1.3</f>
        <v>14864.2</v>
      </c>
      <c r="O325" s="2">
        <f>+N325-M325</f>
        <v>3430.2000000000007</v>
      </c>
    </row>
    <row r="326" spans="1:15" x14ac:dyDescent="0.2">
      <c r="A326" t="s">
        <v>28</v>
      </c>
      <c r="B326">
        <v>2</v>
      </c>
      <c r="C326" t="s">
        <v>14</v>
      </c>
      <c r="D326" t="s">
        <v>36</v>
      </c>
      <c r="E326" t="s">
        <v>16</v>
      </c>
      <c r="F326" t="s">
        <v>16</v>
      </c>
      <c r="G326">
        <v>3</v>
      </c>
      <c r="H326" t="s">
        <v>443</v>
      </c>
      <c r="I326" t="s">
        <v>444</v>
      </c>
      <c r="J326" t="s">
        <v>26</v>
      </c>
      <c r="K326" t="s">
        <v>27</v>
      </c>
      <c r="L326">
        <v>1</v>
      </c>
      <c r="M326" s="5">
        <v>11434</v>
      </c>
      <c r="N326" s="5">
        <f>+M326*1.3</f>
        <v>14864.2</v>
      </c>
      <c r="O326" s="2">
        <f>+N326-M326</f>
        <v>3430.2000000000007</v>
      </c>
    </row>
    <row r="327" spans="1:15" x14ac:dyDescent="0.2">
      <c r="A327" t="s">
        <v>35</v>
      </c>
      <c r="B327">
        <v>2</v>
      </c>
      <c r="C327" t="s">
        <v>14</v>
      </c>
      <c r="D327" t="s">
        <v>36</v>
      </c>
      <c r="E327" t="s">
        <v>16</v>
      </c>
      <c r="F327" t="s">
        <v>16</v>
      </c>
      <c r="G327">
        <v>2</v>
      </c>
      <c r="H327" t="s">
        <v>445</v>
      </c>
      <c r="I327" t="s">
        <v>446</v>
      </c>
      <c r="J327" t="s">
        <v>26</v>
      </c>
      <c r="K327" t="s">
        <v>27</v>
      </c>
      <c r="L327">
        <v>1</v>
      </c>
      <c r="M327" s="5">
        <v>11062</v>
      </c>
      <c r="N327" s="5">
        <f>+M327*1.3</f>
        <v>14380.6</v>
      </c>
      <c r="O327" s="2">
        <f>+N327-M327</f>
        <v>3318.6000000000004</v>
      </c>
    </row>
    <row r="328" spans="1:15" x14ac:dyDescent="0.2">
      <c r="A328" t="s">
        <v>41</v>
      </c>
      <c r="B328">
        <v>2</v>
      </c>
      <c r="C328" t="s">
        <v>14</v>
      </c>
      <c r="D328" t="s">
        <v>36</v>
      </c>
      <c r="E328" t="s">
        <v>16</v>
      </c>
      <c r="F328" t="s">
        <v>16</v>
      </c>
      <c r="G328">
        <v>2</v>
      </c>
      <c r="H328" t="s">
        <v>445</v>
      </c>
      <c r="I328" t="s">
        <v>446</v>
      </c>
      <c r="J328" t="s">
        <v>26</v>
      </c>
      <c r="K328" t="s">
        <v>27</v>
      </c>
      <c r="L328">
        <v>1</v>
      </c>
      <c r="M328" s="5">
        <v>11062</v>
      </c>
      <c r="N328" s="5">
        <f>+M328*1.3</f>
        <v>14380.6</v>
      </c>
      <c r="O328" s="2">
        <f>+N328-M328</f>
        <v>3318.6000000000004</v>
      </c>
    </row>
    <row r="329" spans="1:15" x14ac:dyDescent="0.2">
      <c r="A329" t="s">
        <v>21</v>
      </c>
      <c r="B329">
        <v>1</v>
      </c>
      <c r="C329" t="s">
        <v>14</v>
      </c>
      <c r="D329" t="s">
        <v>36</v>
      </c>
      <c r="E329" t="s">
        <v>16</v>
      </c>
      <c r="F329" t="s">
        <v>16</v>
      </c>
      <c r="G329">
        <v>2</v>
      </c>
      <c r="H329" t="s">
        <v>445</v>
      </c>
      <c r="I329" t="s">
        <v>446</v>
      </c>
      <c r="J329" t="s">
        <v>26</v>
      </c>
      <c r="K329" t="s">
        <v>27</v>
      </c>
      <c r="L329">
        <v>1</v>
      </c>
      <c r="M329" s="5">
        <v>11062</v>
      </c>
      <c r="N329" s="5">
        <f>+M329*1.3</f>
        <v>14380.6</v>
      </c>
      <c r="O329" s="2">
        <f>+N329-M329</f>
        <v>3318.6000000000004</v>
      </c>
    </row>
    <row r="330" spans="1:15" x14ac:dyDescent="0.2">
      <c r="A330" t="s">
        <v>28</v>
      </c>
      <c r="B330">
        <v>2</v>
      </c>
      <c r="C330" t="s">
        <v>14</v>
      </c>
      <c r="D330" t="s">
        <v>36</v>
      </c>
      <c r="E330" t="s">
        <v>16</v>
      </c>
      <c r="F330" t="s">
        <v>16</v>
      </c>
      <c r="G330">
        <v>2</v>
      </c>
      <c r="H330" t="s">
        <v>445</v>
      </c>
      <c r="I330" t="s">
        <v>446</v>
      </c>
      <c r="J330" t="s">
        <v>26</v>
      </c>
      <c r="K330" t="s">
        <v>27</v>
      </c>
      <c r="L330">
        <v>1</v>
      </c>
      <c r="M330" s="5">
        <v>11062</v>
      </c>
      <c r="N330" s="5">
        <f>+M330*1.3</f>
        <v>14380.6</v>
      </c>
      <c r="O330" s="2">
        <f>+N330-M330</f>
        <v>3318.6000000000004</v>
      </c>
    </row>
    <row r="331" spans="1:15" x14ac:dyDescent="0.2">
      <c r="A331" t="s">
        <v>35</v>
      </c>
      <c r="B331">
        <v>3</v>
      </c>
      <c r="C331" t="s">
        <v>14</v>
      </c>
      <c r="D331" t="s">
        <v>36</v>
      </c>
      <c r="E331" t="s">
        <v>16</v>
      </c>
      <c r="F331" t="s">
        <v>16</v>
      </c>
      <c r="G331">
        <v>1</v>
      </c>
      <c r="H331" t="s">
        <v>447</v>
      </c>
      <c r="I331" t="s">
        <v>448</v>
      </c>
      <c r="J331" t="s">
        <v>449</v>
      </c>
      <c r="K331" t="s">
        <v>450</v>
      </c>
      <c r="L331">
        <v>1</v>
      </c>
      <c r="M331" s="5">
        <v>1548</v>
      </c>
      <c r="N331" s="5">
        <f>+M331*1.3</f>
        <v>2012.4</v>
      </c>
      <c r="O331" s="2">
        <f>+N331-M331</f>
        <v>464.40000000000009</v>
      </c>
    </row>
    <row r="332" spans="1:15" x14ac:dyDescent="0.2">
      <c r="A332" t="s">
        <v>41</v>
      </c>
      <c r="B332">
        <v>3</v>
      </c>
      <c r="C332" t="s">
        <v>14</v>
      </c>
      <c r="D332" t="s">
        <v>36</v>
      </c>
      <c r="E332" t="s">
        <v>16</v>
      </c>
      <c r="F332" t="s">
        <v>16</v>
      </c>
      <c r="G332">
        <v>1</v>
      </c>
      <c r="H332" t="s">
        <v>447</v>
      </c>
      <c r="I332" t="s">
        <v>448</v>
      </c>
      <c r="J332" t="s">
        <v>449</v>
      </c>
      <c r="K332" t="s">
        <v>450</v>
      </c>
      <c r="L332">
        <v>1</v>
      </c>
      <c r="M332" s="5">
        <v>1548</v>
      </c>
      <c r="N332" s="5">
        <f>+M332*1.3</f>
        <v>2012.4</v>
      </c>
      <c r="O332" s="2">
        <f>+N332-M332</f>
        <v>464.40000000000009</v>
      </c>
    </row>
    <row r="333" spans="1:15" x14ac:dyDescent="0.2">
      <c r="A333" t="s">
        <v>21</v>
      </c>
      <c r="B333">
        <v>1</v>
      </c>
      <c r="C333" t="s">
        <v>14</v>
      </c>
      <c r="D333" t="s">
        <v>36</v>
      </c>
      <c r="E333" t="s">
        <v>16</v>
      </c>
      <c r="F333" t="s">
        <v>16</v>
      </c>
      <c r="G333">
        <v>1</v>
      </c>
      <c r="H333" t="s">
        <v>447</v>
      </c>
      <c r="I333" t="s">
        <v>448</v>
      </c>
      <c r="J333" t="s">
        <v>449</v>
      </c>
      <c r="K333" t="s">
        <v>450</v>
      </c>
      <c r="L333">
        <v>1</v>
      </c>
      <c r="M333" s="5">
        <v>1548</v>
      </c>
      <c r="N333" s="5">
        <f>+M333*1.3</f>
        <v>2012.4</v>
      </c>
      <c r="O333" s="2">
        <f>+N333-M333</f>
        <v>464.40000000000009</v>
      </c>
    </row>
    <row r="334" spans="1:15" x14ac:dyDescent="0.2">
      <c r="A334" t="s">
        <v>28</v>
      </c>
      <c r="B334">
        <v>3</v>
      </c>
      <c r="C334" t="s">
        <v>14</v>
      </c>
      <c r="D334" t="s">
        <v>36</v>
      </c>
      <c r="E334" t="s">
        <v>16</v>
      </c>
      <c r="F334" t="s">
        <v>16</v>
      </c>
      <c r="G334">
        <v>1</v>
      </c>
      <c r="H334" t="s">
        <v>447</v>
      </c>
      <c r="I334" t="s">
        <v>448</v>
      </c>
      <c r="J334" t="s">
        <v>449</v>
      </c>
      <c r="K334" t="s">
        <v>450</v>
      </c>
      <c r="L334">
        <v>1</v>
      </c>
      <c r="M334" s="5">
        <v>1548</v>
      </c>
      <c r="N334" s="5">
        <f>+M334*1.3</f>
        <v>2012.4</v>
      </c>
      <c r="O334" s="2">
        <f>+N334-M334</f>
        <v>464.40000000000009</v>
      </c>
    </row>
    <row r="335" spans="1:15" x14ac:dyDescent="0.2">
      <c r="A335" t="s">
        <v>88</v>
      </c>
      <c r="B335">
        <v>1</v>
      </c>
      <c r="C335" t="s">
        <v>14</v>
      </c>
      <c r="D335" t="s">
        <v>89</v>
      </c>
      <c r="E335" t="s">
        <v>16</v>
      </c>
      <c r="F335" t="s">
        <v>16</v>
      </c>
      <c r="G335">
        <v>61</v>
      </c>
      <c r="H335" t="s">
        <v>451</v>
      </c>
      <c r="I335" t="s">
        <v>452</v>
      </c>
      <c r="J335" t="s">
        <v>53</v>
      </c>
      <c r="K335" t="s">
        <v>40</v>
      </c>
      <c r="L335">
        <v>1</v>
      </c>
      <c r="M335" s="5">
        <v>2621</v>
      </c>
      <c r="N335" s="5">
        <f>+M335*1.3</f>
        <v>3407.3</v>
      </c>
      <c r="O335" s="2">
        <f>+N335-M335</f>
        <v>786.30000000000018</v>
      </c>
    </row>
    <row r="336" spans="1:15" x14ac:dyDescent="0.2">
      <c r="A336" t="s">
        <v>88</v>
      </c>
      <c r="B336">
        <v>1</v>
      </c>
      <c r="C336" t="s">
        <v>14</v>
      </c>
      <c r="D336" t="s">
        <v>89</v>
      </c>
      <c r="E336" t="s">
        <v>16</v>
      </c>
      <c r="F336" t="s">
        <v>16</v>
      </c>
      <c r="G336">
        <v>24</v>
      </c>
      <c r="H336" t="s">
        <v>453</v>
      </c>
      <c r="I336" t="s">
        <v>454</v>
      </c>
      <c r="J336" t="s">
        <v>26</v>
      </c>
      <c r="K336" t="s">
        <v>27</v>
      </c>
      <c r="L336">
        <v>1</v>
      </c>
      <c r="M336" s="5">
        <v>10517</v>
      </c>
      <c r="N336" s="5">
        <f>+M336*1.3</f>
        <v>13672.1</v>
      </c>
      <c r="O336" s="2">
        <f>+N336-M336</f>
        <v>3155.1000000000004</v>
      </c>
    </row>
    <row r="337" spans="1:15" x14ac:dyDescent="0.2">
      <c r="A337" t="s">
        <v>45</v>
      </c>
      <c r="B337">
        <v>1</v>
      </c>
      <c r="C337" t="s">
        <v>14</v>
      </c>
      <c r="D337" t="s">
        <v>46</v>
      </c>
      <c r="E337" t="s">
        <v>16</v>
      </c>
      <c r="F337" t="s">
        <v>16</v>
      </c>
      <c r="G337">
        <v>1</v>
      </c>
      <c r="H337" t="s">
        <v>455</v>
      </c>
      <c r="I337" t="s">
        <v>456</v>
      </c>
      <c r="J337" t="s">
        <v>70</v>
      </c>
      <c r="K337" t="s">
        <v>50</v>
      </c>
      <c r="L337">
        <v>1</v>
      </c>
      <c r="M337" s="5">
        <v>35969</v>
      </c>
      <c r="N337" s="5">
        <f>+M337*1.3</f>
        <v>46759.700000000004</v>
      </c>
      <c r="O337" s="2">
        <f>+N337-M337</f>
        <v>10790.700000000004</v>
      </c>
    </row>
    <row r="338" spans="1:15" x14ac:dyDescent="0.2">
      <c r="A338" t="s">
        <v>41</v>
      </c>
      <c r="B338">
        <v>1</v>
      </c>
      <c r="C338" t="s">
        <v>14</v>
      </c>
      <c r="D338" t="s">
        <v>46</v>
      </c>
      <c r="E338" t="s">
        <v>16</v>
      </c>
      <c r="F338" t="s">
        <v>16</v>
      </c>
      <c r="G338">
        <v>1</v>
      </c>
      <c r="H338" t="s">
        <v>455</v>
      </c>
      <c r="I338" t="s">
        <v>456</v>
      </c>
      <c r="J338" t="s">
        <v>70</v>
      </c>
      <c r="K338" t="s">
        <v>50</v>
      </c>
      <c r="L338">
        <v>1</v>
      </c>
      <c r="M338" s="5">
        <v>35969</v>
      </c>
      <c r="N338" s="5">
        <f>+M338*1.3</f>
        <v>46759.700000000004</v>
      </c>
      <c r="O338" s="2">
        <f>+N338-M338</f>
        <v>10790.700000000004</v>
      </c>
    </row>
    <row r="339" spans="1:15" x14ac:dyDescent="0.2">
      <c r="A339" t="s">
        <v>28</v>
      </c>
      <c r="B339">
        <v>1</v>
      </c>
      <c r="C339" t="s">
        <v>14</v>
      </c>
      <c r="D339" t="s">
        <v>46</v>
      </c>
      <c r="E339" t="s">
        <v>16</v>
      </c>
      <c r="F339" t="s">
        <v>16</v>
      </c>
      <c r="G339">
        <v>1</v>
      </c>
      <c r="H339" t="s">
        <v>455</v>
      </c>
      <c r="I339" t="s">
        <v>456</v>
      </c>
      <c r="J339" t="s">
        <v>70</v>
      </c>
      <c r="K339" t="s">
        <v>50</v>
      </c>
      <c r="L339">
        <v>1</v>
      </c>
      <c r="M339" s="5">
        <v>35969</v>
      </c>
      <c r="N339" s="5">
        <f>+M339*1.3</f>
        <v>46759.700000000004</v>
      </c>
      <c r="O339" s="2">
        <f>+N339-M339</f>
        <v>10790.700000000004</v>
      </c>
    </row>
    <row r="340" spans="1:15" x14ac:dyDescent="0.2">
      <c r="A340" t="s">
        <v>88</v>
      </c>
      <c r="B340">
        <v>1</v>
      </c>
      <c r="C340" t="s">
        <v>14</v>
      </c>
      <c r="D340" t="s">
        <v>89</v>
      </c>
      <c r="E340" t="s">
        <v>16</v>
      </c>
      <c r="F340" t="s">
        <v>16</v>
      </c>
      <c r="G340">
        <v>75</v>
      </c>
      <c r="H340" t="s">
        <v>457</v>
      </c>
      <c r="I340" t="s">
        <v>458</v>
      </c>
      <c r="J340" t="s">
        <v>138</v>
      </c>
      <c r="K340" t="s">
        <v>40</v>
      </c>
      <c r="L340">
        <v>1</v>
      </c>
      <c r="M340" s="5">
        <v>3279</v>
      </c>
      <c r="N340" s="5">
        <f>+M340*1.3</f>
        <v>4262.7</v>
      </c>
      <c r="O340" s="2">
        <f>+N340-M340</f>
        <v>983.69999999999982</v>
      </c>
    </row>
    <row r="341" spans="1:15" x14ac:dyDescent="0.2">
      <c r="A341" t="s">
        <v>41</v>
      </c>
      <c r="B341">
        <v>3</v>
      </c>
      <c r="C341" t="s">
        <v>14</v>
      </c>
      <c r="D341" t="s">
        <v>299</v>
      </c>
      <c r="E341" t="s">
        <v>16</v>
      </c>
      <c r="F341" t="s">
        <v>16</v>
      </c>
      <c r="G341">
        <v>1</v>
      </c>
      <c r="H341" t="s">
        <v>459</v>
      </c>
      <c r="I341" t="s">
        <v>460</v>
      </c>
      <c r="J341" t="s">
        <v>53</v>
      </c>
      <c r="K341" t="s">
        <v>40</v>
      </c>
      <c r="L341">
        <v>1</v>
      </c>
      <c r="M341" s="5">
        <v>2783</v>
      </c>
      <c r="N341" s="5">
        <f>+M341*1.3</f>
        <v>3617.9</v>
      </c>
      <c r="O341" s="2">
        <f>+N341-M341</f>
        <v>834.90000000000009</v>
      </c>
    </row>
    <row r="342" spans="1:15" x14ac:dyDescent="0.2">
      <c r="A342" t="s">
        <v>88</v>
      </c>
      <c r="B342">
        <v>1</v>
      </c>
      <c r="C342" t="s">
        <v>14</v>
      </c>
      <c r="D342" t="s">
        <v>89</v>
      </c>
      <c r="E342" t="s">
        <v>16</v>
      </c>
      <c r="F342" t="s">
        <v>16</v>
      </c>
      <c r="G342">
        <v>26</v>
      </c>
      <c r="H342" t="s">
        <v>461</v>
      </c>
      <c r="I342" t="s">
        <v>462</v>
      </c>
      <c r="J342" t="s">
        <v>26</v>
      </c>
      <c r="K342" t="s">
        <v>27</v>
      </c>
      <c r="L342">
        <v>1</v>
      </c>
      <c r="M342" s="5">
        <v>10926</v>
      </c>
      <c r="N342" s="5">
        <f>+M342*1.3</f>
        <v>14203.800000000001</v>
      </c>
      <c r="O342" s="2">
        <f>+N342-M342</f>
        <v>3277.8000000000011</v>
      </c>
    </row>
    <row r="343" spans="1:15" x14ac:dyDescent="0.2">
      <c r="A343" t="s">
        <v>88</v>
      </c>
      <c r="B343">
        <v>1</v>
      </c>
      <c r="C343" t="s">
        <v>14</v>
      </c>
      <c r="D343" t="s">
        <v>89</v>
      </c>
      <c r="E343" t="s">
        <v>16</v>
      </c>
      <c r="F343" t="s">
        <v>16</v>
      </c>
      <c r="G343">
        <v>7</v>
      </c>
      <c r="H343" t="s">
        <v>463</v>
      </c>
      <c r="I343" t="s">
        <v>464</v>
      </c>
      <c r="J343" t="s">
        <v>333</v>
      </c>
      <c r="K343" t="s">
        <v>40</v>
      </c>
      <c r="L343">
        <v>75</v>
      </c>
      <c r="M343" s="5">
        <v>48545</v>
      </c>
      <c r="N343" s="5">
        <f>+M343*1.3</f>
        <v>63108.5</v>
      </c>
      <c r="O343" s="2">
        <f>+N343-M343</f>
        <v>14563.5</v>
      </c>
    </row>
    <row r="344" spans="1:15" x14ac:dyDescent="0.2">
      <c r="A344" t="s">
        <v>88</v>
      </c>
      <c r="B344">
        <v>1</v>
      </c>
      <c r="C344" t="s">
        <v>14</v>
      </c>
      <c r="D344" t="s">
        <v>89</v>
      </c>
      <c r="E344" t="s">
        <v>16</v>
      </c>
      <c r="F344" t="s">
        <v>16</v>
      </c>
      <c r="G344">
        <v>1</v>
      </c>
      <c r="H344" t="s">
        <v>465</v>
      </c>
      <c r="I344" t="s">
        <v>466</v>
      </c>
      <c r="J344" t="s">
        <v>429</v>
      </c>
      <c r="K344" t="s">
        <v>98</v>
      </c>
      <c r="L344">
        <v>132</v>
      </c>
      <c r="M344" s="5">
        <v>45985</v>
      </c>
      <c r="N344" s="5">
        <f>+M344*1.3</f>
        <v>59780.5</v>
      </c>
      <c r="O344" s="2">
        <f>+N344-M344</f>
        <v>13795.5</v>
      </c>
    </row>
    <row r="345" spans="1:15" x14ac:dyDescent="0.2">
      <c r="A345" t="s">
        <v>88</v>
      </c>
      <c r="B345">
        <v>1</v>
      </c>
      <c r="C345" t="s">
        <v>14</v>
      </c>
      <c r="D345" t="s">
        <v>89</v>
      </c>
      <c r="E345" t="s">
        <v>16</v>
      </c>
      <c r="F345" t="s">
        <v>16</v>
      </c>
      <c r="G345">
        <v>21</v>
      </c>
      <c r="H345" t="s">
        <v>467</v>
      </c>
      <c r="I345" t="s">
        <v>468</v>
      </c>
      <c r="J345" t="s">
        <v>333</v>
      </c>
      <c r="K345" t="s">
        <v>40</v>
      </c>
      <c r="L345">
        <v>12</v>
      </c>
      <c r="M345" s="5">
        <v>18738</v>
      </c>
      <c r="N345" s="5">
        <f>+M345*1.3</f>
        <v>24359.4</v>
      </c>
      <c r="O345" s="2">
        <f>+N345-M345</f>
        <v>5621.4000000000015</v>
      </c>
    </row>
    <row r="346" spans="1:15" x14ac:dyDescent="0.2">
      <c r="A346" t="s">
        <v>88</v>
      </c>
      <c r="B346">
        <v>1</v>
      </c>
      <c r="C346" t="s">
        <v>14</v>
      </c>
      <c r="D346" t="s">
        <v>89</v>
      </c>
      <c r="E346" t="s">
        <v>16</v>
      </c>
      <c r="F346" t="s">
        <v>16</v>
      </c>
      <c r="G346">
        <v>72</v>
      </c>
      <c r="H346" t="s">
        <v>469</v>
      </c>
      <c r="I346" t="s">
        <v>470</v>
      </c>
      <c r="J346" t="s">
        <v>138</v>
      </c>
      <c r="K346" t="s">
        <v>40</v>
      </c>
      <c r="L346">
        <v>1</v>
      </c>
      <c r="M346" s="5">
        <v>3167</v>
      </c>
      <c r="N346" s="5">
        <f>+M346*1.3</f>
        <v>4117.1000000000004</v>
      </c>
      <c r="O346" s="2">
        <f>+N346-M346</f>
        <v>950.10000000000036</v>
      </c>
    </row>
    <row r="347" spans="1:15" x14ac:dyDescent="0.2">
      <c r="A347" t="s">
        <v>45</v>
      </c>
      <c r="B347">
        <v>1</v>
      </c>
      <c r="C347" t="s">
        <v>14</v>
      </c>
      <c r="D347" t="s">
        <v>46</v>
      </c>
      <c r="E347" t="s">
        <v>16</v>
      </c>
      <c r="F347" t="s">
        <v>16</v>
      </c>
      <c r="G347">
        <v>3</v>
      </c>
      <c r="H347" t="s">
        <v>471</v>
      </c>
      <c r="I347" t="s">
        <v>472</v>
      </c>
      <c r="J347" t="s">
        <v>473</v>
      </c>
      <c r="K347" t="s">
        <v>57</v>
      </c>
      <c r="L347">
        <v>1</v>
      </c>
      <c r="M347" s="5">
        <v>474330</v>
      </c>
      <c r="N347" s="5">
        <f>+M347*1.3</f>
        <v>616629</v>
      </c>
      <c r="O347" s="2">
        <f>+N347-M347</f>
        <v>142299</v>
      </c>
    </row>
    <row r="348" spans="1:15" x14ac:dyDescent="0.2">
      <c r="A348" t="s">
        <v>41</v>
      </c>
      <c r="B348">
        <v>1</v>
      </c>
      <c r="C348" t="s">
        <v>14</v>
      </c>
      <c r="D348" t="s">
        <v>46</v>
      </c>
      <c r="E348" t="s">
        <v>16</v>
      </c>
      <c r="F348" t="s">
        <v>16</v>
      </c>
      <c r="G348">
        <v>3</v>
      </c>
      <c r="H348" t="s">
        <v>471</v>
      </c>
      <c r="I348" t="s">
        <v>472</v>
      </c>
      <c r="J348" t="s">
        <v>473</v>
      </c>
      <c r="K348" t="s">
        <v>57</v>
      </c>
      <c r="L348">
        <v>1</v>
      </c>
      <c r="M348" s="5">
        <v>474330</v>
      </c>
      <c r="N348" s="5">
        <f>+M348*1.3</f>
        <v>616629</v>
      </c>
      <c r="O348" s="2">
        <f>+N348-M348</f>
        <v>142299</v>
      </c>
    </row>
    <row r="349" spans="1:15" x14ac:dyDescent="0.2">
      <c r="A349" t="s">
        <v>28</v>
      </c>
      <c r="B349">
        <v>1</v>
      </c>
      <c r="C349" t="s">
        <v>14</v>
      </c>
      <c r="D349" t="s">
        <v>46</v>
      </c>
      <c r="E349" t="s">
        <v>16</v>
      </c>
      <c r="F349" t="s">
        <v>16</v>
      </c>
      <c r="G349">
        <v>3</v>
      </c>
      <c r="H349" t="s">
        <v>471</v>
      </c>
      <c r="I349" t="s">
        <v>472</v>
      </c>
      <c r="J349" t="s">
        <v>473</v>
      </c>
      <c r="K349" t="s">
        <v>57</v>
      </c>
      <c r="L349">
        <v>1</v>
      </c>
      <c r="M349" s="5">
        <v>474330</v>
      </c>
      <c r="N349" s="5">
        <f>+M349*1.3</f>
        <v>616629</v>
      </c>
      <c r="O349" s="2">
        <f>+N349-M349</f>
        <v>142299</v>
      </c>
    </row>
    <row r="350" spans="1:15" x14ac:dyDescent="0.2">
      <c r="A350" t="s">
        <v>13</v>
      </c>
      <c r="B350">
        <v>1</v>
      </c>
      <c r="C350" t="s">
        <v>14</v>
      </c>
      <c r="D350" t="s">
        <v>15</v>
      </c>
      <c r="E350" t="s">
        <v>16</v>
      </c>
      <c r="F350" t="s">
        <v>16</v>
      </c>
      <c r="G350">
        <v>6</v>
      </c>
      <c r="H350" t="s">
        <v>474</v>
      </c>
      <c r="I350" t="s">
        <v>475</v>
      </c>
      <c r="J350" t="s">
        <v>138</v>
      </c>
      <c r="K350" t="s">
        <v>40</v>
      </c>
      <c r="L350">
        <v>1</v>
      </c>
      <c r="M350" s="5">
        <v>3593</v>
      </c>
      <c r="N350" s="5">
        <f>+M350*1.3</f>
        <v>4670.9000000000005</v>
      </c>
      <c r="O350" s="2">
        <f>+N350-M350</f>
        <v>1077.9000000000005</v>
      </c>
    </row>
    <row r="351" spans="1:15" x14ac:dyDescent="0.2">
      <c r="A351" t="s">
        <v>21</v>
      </c>
      <c r="B351">
        <v>1</v>
      </c>
      <c r="C351" t="s">
        <v>14</v>
      </c>
      <c r="D351" t="s">
        <v>15</v>
      </c>
      <c r="E351" t="s">
        <v>16</v>
      </c>
      <c r="F351" t="s">
        <v>16</v>
      </c>
      <c r="G351">
        <v>6</v>
      </c>
      <c r="H351" t="s">
        <v>474</v>
      </c>
      <c r="I351" t="s">
        <v>475</v>
      </c>
      <c r="J351" t="s">
        <v>138</v>
      </c>
      <c r="K351" t="s">
        <v>40</v>
      </c>
      <c r="L351">
        <v>1</v>
      </c>
      <c r="M351" s="5">
        <v>3593</v>
      </c>
      <c r="N351" s="5">
        <f>+M351*1.3</f>
        <v>4670.9000000000005</v>
      </c>
      <c r="O351" s="2">
        <f>+N351-M351</f>
        <v>1077.9000000000005</v>
      </c>
    </row>
    <row r="352" spans="1:15" x14ac:dyDescent="0.2">
      <c r="A352" t="s">
        <v>13</v>
      </c>
      <c r="B352">
        <v>2</v>
      </c>
      <c r="C352" t="s">
        <v>14</v>
      </c>
      <c r="D352" t="s">
        <v>15</v>
      </c>
      <c r="E352" t="s">
        <v>16</v>
      </c>
      <c r="F352" t="s">
        <v>16</v>
      </c>
      <c r="G352">
        <v>2</v>
      </c>
      <c r="H352" t="s">
        <v>476</v>
      </c>
      <c r="I352" t="s">
        <v>477</v>
      </c>
      <c r="J352" t="s">
        <v>26</v>
      </c>
      <c r="K352" t="s">
        <v>27</v>
      </c>
      <c r="L352">
        <v>1</v>
      </c>
      <c r="M352" s="5">
        <v>12199</v>
      </c>
      <c r="N352" s="5">
        <f>+M352*1.3</f>
        <v>15858.7</v>
      </c>
      <c r="O352" s="2">
        <f>+N352-M352</f>
        <v>3659.7000000000007</v>
      </c>
    </row>
    <row r="353" spans="1:15" x14ac:dyDescent="0.2">
      <c r="A353" t="s">
        <v>21</v>
      </c>
      <c r="B353">
        <v>1</v>
      </c>
      <c r="C353" t="s">
        <v>14</v>
      </c>
      <c r="D353" t="s">
        <v>15</v>
      </c>
      <c r="E353" t="s">
        <v>16</v>
      </c>
      <c r="F353" t="s">
        <v>16</v>
      </c>
      <c r="G353">
        <v>2</v>
      </c>
      <c r="H353" t="s">
        <v>476</v>
      </c>
      <c r="I353" t="s">
        <v>477</v>
      </c>
      <c r="J353" t="s">
        <v>26</v>
      </c>
      <c r="K353" t="s">
        <v>27</v>
      </c>
      <c r="L353">
        <v>1</v>
      </c>
      <c r="M353" s="5">
        <v>12199</v>
      </c>
      <c r="N353" s="5">
        <f>+M353*1.3</f>
        <v>15858.7</v>
      </c>
      <c r="O353" s="2">
        <f>+N353-M353</f>
        <v>3659.7000000000007</v>
      </c>
    </row>
    <row r="354" spans="1:15" x14ac:dyDescent="0.2">
      <c r="A354" t="s">
        <v>88</v>
      </c>
      <c r="B354">
        <v>1</v>
      </c>
      <c r="C354" t="s">
        <v>14</v>
      </c>
      <c r="D354" t="s">
        <v>89</v>
      </c>
      <c r="E354" t="s">
        <v>16</v>
      </c>
      <c r="F354" t="s">
        <v>16</v>
      </c>
      <c r="G354">
        <v>88</v>
      </c>
      <c r="H354" t="s">
        <v>478</v>
      </c>
      <c r="I354" t="s">
        <v>479</v>
      </c>
      <c r="J354" t="s">
        <v>135</v>
      </c>
      <c r="K354" t="s">
        <v>40</v>
      </c>
      <c r="L354">
        <v>1</v>
      </c>
      <c r="M354" s="5">
        <v>3846</v>
      </c>
      <c r="N354" s="5">
        <f>+M354*1.3</f>
        <v>4999.8</v>
      </c>
      <c r="O354" s="2">
        <f>+N354-M354</f>
        <v>1153.8000000000002</v>
      </c>
    </row>
    <row r="355" spans="1:15" x14ac:dyDescent="0.2">
      <c r="A355" t="s">
        <v>88</v>
      </c>
      <c r="B355">
        <v>1</v>
      </c>
      <c r="C355" t="s">
        <v>14</v>
      </c>
      <c r="D355" t="s">
        <v>89</v>
      </c>
      <c r="E355" t="s">
        <v>16</v>
      </c>
      <c r="F355" t="s">
        <v>16</v>
      </c>
      <c r="G355">
        <v>22</v>
      </c>
      <c r="H355" t="s">
        <v>480</v>
      </c>
      <c r="I355" t="s">
        <v>481</v>
      </c>
      <c r="J355" t="s">
        <v>26</v>
      </c>
      <c r="K355" t="s">
        <v>27</v>
      </c>
      <c r="L355">
        <v>1</v>
      </c>
      <c r="M355" s="5">
        <v>9458</v>
      </c>
      <c r="N355" s="5">
        <f>+M355*1.3</f>
        <v>12295.4</v>
      </c>
      <c r="O355" s="2">
        <f>+N355-M355</f>
        <v>2837.3999999999996</v>
      </c>
    </row>
    <row r="356" spans="1:15" x14ac:dyDescent="0.2">
      <c r="A356" t="s">
        <v>88</v>
      </c>
      <c r="B356">
        <v>1</v>
      </c>
      <c r="C356" t="s">
        <v>14</v>
      </c>
      <c r="D356" t="s">
        <v>89</v>
      </c>
      <c r="E356" t="s">
        <v>16</v>
      </c>
      <c r="F356" t="s">
        <v>16</v>
      </c>
      <c r="G356">
        <v>80</v>
      </c>
      <c r="H356" t="s">
        <v>482</v>
      </c>
      <c r="I356" t="s">
        <v>483</v>
      </c>
      <c r="J356" t="s">
        <v>39</v>
      </c>
      <c r="K356" t="s">
        <v>40</v>
      </c>
      <c r="L356">
        <v>1</v>
      </c>
      <c r="M356" s="5">
        <v>3461</v>
      </c>
      <c r="N356" s="5">
        <f>+M356*1.3</f>
        <v>4499.3</v>
      </c>
      <c r="O356" s="2">
        <f>+N356-M356</f>
        <v>1038.3000000000002</v>
      </c>
    </row>
    <row r="357" spans="1:15" x14ac:dyDescent="0.2">
      <c r="A357" t="s">
        <v>88</v>
      </c>
      <c r="B357">
        <v>1</v>
      </c>
      <c r="C357" t="s">
        <v>14</v>
      </c>
      <c r="D357" t="s">
        <v>89</v>
      </c>
      <c r="E357" t="s">
        <v>16</v>
      </c>
      <c r="F357" t="s">
        <v>16</v>
      </c>
      <c r="G357">
        <v>74</v>
      </c>
      <c r="H357" t="s">
        <v>484</v>
      </c>
      <c r="I357" t="s">
        <v>485</v>
      </c>
      <c r="J357" t="s">
        <v>39</v>
      </c>
      <c r="K357" t="s">
        <v>40</v>
      </c>
      <c r="L357">
        <v>1</v>
      </c>
      <c r="M357" s="5">
        <v>3271</v>
      </c>
      <c r="N357" s="5">
        <f>+M357*1.3</f>
        <v>4252.3</v>
      </c>
      <c r="O357" s="2">
        <f>+N357-M357</f>
        <v>981.30000000000018</v>
      </c>
    </row>
    <row r="358" spans="1:15" x14ac:dyDescent="0.2">
      <c r="A358" t="s">
        <v>88</v>
      </c>
      <c r="B358">
        <v>1</v>
      </c>
      <c r="C358" t="s">
        <v>14</v>
      </c>
      <c r="D358" t="s">
        <v>89</v>
      </c>
      <c r="E358" t="s">
        <v>16</v>
      </c>
      <c r="F358" t="s">
        <v>16</v>
      </c>
      <c r="G358">
        <v>29</v>
      </c>
      <c r="H358" t="s">
        <v>486</v>
      </c>
      <c r="I358" t="s">
        <v>487</v>
      </c>
      <c r="J358" t="s">
        <v>26</v>
      </c>
      <c r="K358" t="s">
        <v>27</v>
      </c>
      <c r="L358">
        <v>1</v>
      </c>
      <c r="M358" s="5">
        <v>11930</v>
      </c>
      <c r="N358" s="5">
        <f>+M358*1.3</f>
        <v>15509</v>
      </c>
      <c r="O358" s="2">
        <f>+N358-M358</f>
        <v>3579</v>
      </c>
    </row>
    <row r="359" spans="1:15" x14ac:dyDescent="0.2">
      <c r="A359" t="s">
        <v>13</v>
      </c>
      <c r="B359">
        <v>1</v>
      </c>
      <c r="C359" t="s">
        <v>14</v>
      </c>
      <c r="D359" t="s">
        <v>85</v>
      </c>
      <c r="E359" t="s">
        <v>16</v>
      </c>
      <c r="F359" t="s">
        <v>16</v>
      </c>
      <c r="G359">
        <v>2</v>
      </c>
      <c r="H359" t="s">
        <v>488</v>
      </c>
      <c r="I359" t="s">
        <v>489</v>
      </c>
      <c r="J359" t="s">
        <v>138</v>
      </c>
      <c r="K359" t="s">
        <v>40</v>
      </c>
      <c r="L359">
        <v>1</v>
      </c>
      <c r="M359" s="5">
        <v>3451</v>
      </c>
      <c r="N359" s="5">
        <f>+M359*1.3</f>
        <v>4486.3</v>
      </c>
      <c r="O359" s="2">
        <f>+N359-M359</f>
        <v>1035.3000000000002</v>
      </c>
    </row>
    <row r="360" spans="1:15" x14ac:dyDescent="0.2">
      <c r="A360" t="s">
        <v>21</v>
      </c>
      <c r="B360">
        <v>1</v>
      </c>
      <c r="C360" t="s">
        <v>14</v>
      </c>
      <c r="D360" t="s">
        <v>85</v>
      </c>
      <c r="E360" t="s">
        <v>16</v>
      </c>
      <c r="F360" t="s">
        <v>16</v>
      </c>
      <c r="G360">
        <v>2</v>
      </c>
      <c r="H360" t="s">
        <v>488</v>
      </c>
      <c r="I360" t="s">
        <v>489</v>
      </c>
      <c r="J360" t="s">
        <v>138</v>
      </c>
      <c r="K360" t="s">
        <v>40</v>
      </c>
      <c r="L360">
        <v>1</v>
      </c>
      <c r="M360" s="5">
        <v>3451</v>
      </c>
      <c r="N360" s="5">
        <f>+M360*1.3</f>
        <v>4486.3</v>
      </c>
      <c r="O360" s="2">
        <f>+N360-M360</f>
        <v>1035.3000000000002</v>
      </c>
    </row>
    <row r="361" spans="1:15" x14ac:dyDescent="0.2">
      <c r="A361" t="s">
        <v>13</v>
      </c>
      <c r="B361">
        <v>2</v>
      </c>
      <c r="C361" t="s">
        <v>14</v>
      </c>
      <c r="D361" t="s">
        <v>85</v>
      </c>
      <c r="E361" t="s">
        <v>16</v>
      </c>
      <c r="F361" t="s">
        <v>16</v>
      </c>
      <c r="G361">
        <v>2</v>
      </c>
      <c r="H361" t="s">
        <v>490</v>
      </c>
      <c r="I361" t="s">
        <v>491</v>
      </c>
      <c r="J361" t="s">
        <v>26</v>
      </c>
      <c r="K361" t="s">
        <v>27</v>
      </c>
      <c r="L361">
        <v>1</v>
      </c>
      <c r="M361" s="5">
        <v>11176</v>
      </c>
      <c r="N361" s="5">
        <f>+M361*1.3</f>
        <v>14528.800000000001</v>
      </c>
      <c r="O361" s="2">
        <f>+N361-M361</f>
        <v>3352.8000000000011</v>
      </c>
    </row>
    <row r="362" spans="1:15" x14ac:dyDescent="0.2">
      <c r="A362" t="s">
        <v>21</v>
      </c>
      <c r="B362">
        <v>1</v>
      </c>
      <c r="C362" t="s">
        <v>14</v>
      </c>
      <c r="D362" t="s">
        <v>85</v>
      </c>
      <c r="E362" t="s">
        <v>16</v>
      </c>
      <c r="F362" t="s">
        <v>16</v>
      </c>
      <c r="G362">
        <v>2</v>
      </c>
      <c r="H362" t="s">
        <v>490</v>
      </c>
      <c r="I362" t="s">
        <v>491</v>
      </c>
      <c r="J362" t="s">
        <v>26</v>
      </c>
      <c r="K362" t="s">
        <v>27</v>
      </c>
      <c r="L362">
        <v>1</v>
      </c>
      <c r="M362" s="5">
        <v>11176</v>
      </c>
      <c r="N362" s="5">
        <f>+M362*1.3</f>
        <v>14528.800000000001</v>
      </c>
      <c r="O362" s="2">
        <f>+N362-M362</f>
        <v>3352.8000000000011</v>
      </c>
    </row>
    <row r="363" spans="1:15" x14ac:dyDescent="0.2">
      <c r="A363" t="s">
        <v>35</v>
      </c>
      <c r="B363">
        <v>2</v>
      </c>
      <c r="C363" t="s">
        <v>14</v>
      </c>
      <c r="D363" t="s">
        <v>36</v>
      </c>
      <c r="E363" t="s">
        <v>16</v>
      </c>
      <c r="F363" t="s">
        <v>16</v>
      </c>
      <c r="G363">
        <v>2</v>
      </c>
      <c r="H363" t="s">
        <v>492</v>
      </c>
      <c r="I363" t="s">
        <v>493</v>
      </c>
      <c r="J363" t="s">
        <v>26</v>
      </c>
      <c r="K363" t="s">
        <v>27</v>
      </c>
      <c r="L363">
        <v>6</v>
      </c>
      <c r="M363" s="5">
        <v>66374</v>
      </c>
      <c r="N363" s="5">
        <f>+M363*1.3</f>
        <v>86286.2</v>
      </c>
      <c r="O363" s="2">
        <f>+N363-M363</f>
        <v>19912.199999999997</v>
      </c>
    </row>
    <row r="364" spans="1:15" x14ac:dyDescent="0.2">
      <c r="A364" t="s">
        <v>41</v>
      </c>
      <c r="B364">
        <v>2</v>
      </c>
      <c r="C364" t="s">
        <v>14</v>
      </c>
      <c r="D364" t="s">
        <v>36</v>
      </c>
      <c r="E364" t="s">
        <v>16</v>
      </c>
      <c r="F364" t="s">
        <v>16</v>
      </c>
      <c r="G364">
        <v>2</v>
      </c>
      <c r="H364" t="s">
        <v>492</v>
      </c>
      <c r="I364" t="s">
        <v>493</v>
      </c>
      <c r="J364" t="s">
        <v>26</v>
      </c>
      <c r="K364" t="s">
        <v>27</v>
      </c>
      <c r="L364">
        <v>6</v>
      </c>
      <c r="M364" s="5">
        <v>66374</v>
      </c>
      <c r="N364" s="5">
        <f>+M364*1.3</f>
        <v>86286.2</v>
      </c>
      <c r="O364" s="2">
        <f>+N364-M364</f>
        <v>19912.199999999997</v>
      </c>
    </row>
    <row r="365" spans="1:15" x14ac:dyDescent="0.2">
      <c r="A365" t="s">
        <v>21</v>
      </c>
      <c r="B365">
        <v>1</v>
      </c>
      <c r="C365" t="s">
        <v>14</v>
      </c>
      <c r="D365" t="s">
        <v>36</v>
      </c>
      <c r="E365" t="s">
        <v>16</v>
      </c>
      <c r="F365" t="s">
        <v>16</v>
      </c>
      <c r="G365">
        <v>2</v>
      </c>
      <c r="H365" t="s">
        <v>492</v>
      </c>
      <c r="I365" t="s">
        <v>493</v>
      </c>
      <c r="J365" t="s">
        <v>26</v>
      </c>
      <c r="K365" t="s">
        <v>27</v>
      </c>
      <c r="L365">
        <v>6</v>
      </c>
      <c r="M365" s="5">
        <v>66374</v>
      </c>
      <c r="N365" s="5">
        <f>+M365*1.3</f>
        <v>86286.2</v>
      </c>
      <c r="O365" s="2">
        <f>+N365-M365</f>
        <v>19912.199999999997</v>
      </c>
    </row>
    <row r="366" spans="1:15" x14ac:dyDescent="0.2">
      <c r="A366" t="s">
        <v>28</v>
      </c>
      <c r="B366">
        <v>2</v>
      </c>
      <c r="C366" t="s">
        <v>14</v>
      </c>
      <c r="D366" t="s">
        <v>36</v>
      </c>
      <c r="E366" t="s">
        <v>16</v>
      </c>
      <c r="F366" t="s">
        <v>16</v>
      </c>
      <c r="G366">
        <v>2</v>
      </c>
      <c r="H366" t="s">
        <v>492</v>
      </c>
      <c r="I366" t="s">
        <v>493</v>
      </c>
      <c r="J366" t="s">
        <v>26</v>
      </c>
      <c r="K366" t="s">
        <v>27</v>
      </c>
      <c r="L366">
        <v>6</v>
      </c>
      <c r="M366" s="5">
        <v>66374</v>
      </c>
      <c r="N366" s="5">
        <f>+M366*1.3</f>
        <v>86286.2</v>
      </c>
      <c r="O366" s="2">
        <f>+N366-M366</f>
        <v>19912.199999999997</v>
      </c>
    </row>
    <row r="367" spans="1:15" x14ac:dyDescent="0.2">
      <c r="A367" t="s">
        <v>88</v>
      </c>
      <c r="B367">
        <v>3</v>
      </c>
      <c r="C367" t="s">
        <v>14</v>
      </c>
      <c r="D367" t="s">
        <v>89</v>
      </c>
      <c r="E367" t="s">
        <v>16</v>
      </c>
      <c r="F367" t="s">
        <v>16</v>
      </c>
      <c r="G367">
        <v>18</v>
      </c>
      <c r="H367" t="s">
        <v>494</v>
      </c>
      <c r="I367" t="s">
        <v>495</v>
      </c>
      <c r="J367" t="s">
        <v>56</v>
      </c>
      <c r="K367" t="s">
        <v>57</v>
      </c>
      <c r="L367">
        <v>1</v>
      </c>
      <c r="M367" s="5">
        <v>635043</v>
      </c>
      <c r="N367" s="5">
        <f>+M367*1.3</f>
        <v>825555.9</v>
      </c>
      <c r="O367" s="2">
        <f>+N367-M367</f>
        <v>190512.90000000002</v>
      </c>
    </row>
    <row r="368" spans="1:15" x14ac:dyDescent="0.2">
      <c r="A368" t="s">
        <v>35</v>
      </c>
      <c r="B368">
        <v>3</v>
      </c>
      <c r="C368" t="s">
        <v>14</v>
      </c>
      <c r="D368" t="s">
        <v>36</v>
      </c>
      <c r="E368" t="s">
        <v>16</v>
      </c>
      <c r="F368" t="s">
        <v>16</v>
      </c>
      <c r="G368">
        <v>1</v>
      </c>
      <c r="H368" t="s">
        <v>496</v>
      </c>
      <c r="I368" t="s">
        <v>497</v>
      </c>
      <c r="J368" t="s">
        <v>449</v>
      </c>
      <c r="K368" t="s">
        <v>98</v>
      </c>
      <c r="L368">
        <v>24</v>
      </c>
      <c r="M368" s="5">
        <v>37143</v>
      </c>
      <c r="N368" s="5">
        <f>+M368*1.3</f>
        <v>48285.9</v>
      </c>
      <c r="O368" s="2">
        <f>+N368-M368</f>
        <v>11142.900000000001</v>
      </c>
    </row>
    <row r="369" spans="1:15" x14ac:dyDescent="0.2">
      <c r="A369" t="s">
        <v>41</v>
      </c>
      <c r="B369">
        <v>3</v>
      </c>
      <c r="C369" t="s">
        <v>14</v>
      </c>
      <c r="D369" t="s">
        <v>36</v>
      </c>
      <c r="E369" t="s">
        <v>16</v>
      </c>
      <c r="F369" t="s">
        <v>16</v>
      </c>
      <c r="G369">
        <v>1</v>
      </c>
      <c r="H369" t="s">
        <v>496</v>
      </c>
      <c r="I369" t="s">
        <v>497</v>
      </c>
      <c r="J369" t="s">
        <v>449</v>
      </c>
      <c r="K369" t="s">
        <v>98</v>
      </c>
      <c r="L369">
        <v>24</v>
      </c>
      <c r="M369" s="5">
        <v>37143</v>
      </c>
      <c r="N369" s="5">
        <f>+M369*1.3</f>
        <v>48285.9</v>
      </c>
      <c r="O369" s="2">
        <f>+N369-M369</f>
        <v>11142.900000000001</v>
      </c>
    </row>
    <row r="370" spans="1:15" x14ac:dyDescent="0.2">
      <c r="A370" t="s">
        <v>21</v>
      </c>
      <c r="B370">
        <v>1</v>
      </c>
      <c r="C370" t="s">
        <v>14</v>
      </c>
      <c r="D370" t="s">
        <v>36</v>
      </c>
      <c r="E370" t="s">
        <v>16</v>
      </c>
      <c r="F370" t="s">
        <v>16</v>
      </c>
      <c r="G370">
        <v>1</v>
      </c>
      <c r="H370" t="s">
        <v>496</v>
      </c>
      <c r="I370" t="s">
        <v>497</v>
      </c>
      <c r="J370" t="s">
        <v>449</v>
      </c>
      <c r="K370" t="s">
        <v>98</v>
      </c>
      <c r="L370">
        <v>24</v>
      </c>
      <c r="M370" s="5">
        <v>37143</v>
      </c>
      <c r="N370" s="5">
        <f>+M370*1.3</f>
        <v>48285.9</v>
      </c>
      <c r="O370" s="2">
        <f>+N370-M370</f>
        <v>11142.900000000001</v>
      </c>
    </row>
    <row r="371" spans="1:15" x14ac:dyDescent="0.2">
      <c r="A371" t="s">
        <v>28</v>
      </c>
      <c r="B371">
        <v>3</v>
      </c>
      <c r="C371" t="s">
        <v>14</v>
      </c>
      <c r="D371" t="s">
        <v>36</v>
      </c>
      <c r="E371" t="s">
        <v>16</v>
      </c>
      <c r="F371" t="s">
        <v>16</v>
      </c>
      <c r="G371">
        <v>1</v>
      </c>
      <c r="H371" t="s">
        <v>496</v>
      </c>
      <c r="I371" t="s">
        <v>497</v>
      </c>
      <c r="J371" t="s">
        <v>449</v>
      </c>
      <c r="K371" t="s">
        <v>98</v>
      </c>
      <c r="L371">
        <v>24</v>
      </c>
      <c r="M371" s="5">
        <v>37143</v>
      </c>
      <c r="N371" s="5">
        <f>+M371*1.3</f>
        <v>48285.9</v>
      </c>
      <c r="O371" s="2">
        <f>+N371-M371</f>
        <v>11142.900000000001</v>
      </c>
    </row>
    <row r="372" spans="1:15" x14ac:dyDescent="0.2">
      <c r="A372" t="s">
        <v>88</v>
      </c>
      <c r="B372">
        <v>3</v>
      </c>
      <c r="C372" t="s">
        <v>14</v>
      </c>
      <c r="D372" t="s">
        <v>89</v>
      </c>
      <c r="E372" t="s">
        <v>16</v>
      </c>
      <c r="F372" t="s">
        <v>16</v>
      </c>
      <c r="G372">
        <v>11</v>
      </c>
      <c r="H372" t="s">
        <v>498</v>
      </c>
      <c r="I372" t="s">
        <v>499</v>
      </c>
      <c r="J372" t="s">
        <v>123</v>
      </c>
      <c r="K372" t="s">
        <v>57</v>
      </c>
      <c r="L372">
        <v>1</v>
      </c>
      <c r="M372" s="5">
        <v>499035</v>
      </c>
      <c r="N372" s="5">
        <f>+M372*1.3</f>
        <v>648745.5</v>
      </c>
      <c r="O372" s="2">
        <f>+N372-M372</f>
        <v>149710.5</v>
      </c>
    </row>
    <row r="373" spans="1:15" x14ac:dyDescent="0.2">
      <c r="A373" t="s">
        <v>88</v>
      </c>
      <c r="B373">
        <v>1</v>
      </c>
      <c r="C373" t="s">
        <v>14</v>
      </c>
      <c r="D373" t="s">
        <v>89</v>
      </c>
      <c r="E373" t="s">
        <v>16</v>
      </c>
      <c r="F373" t="s">
        <v>16</v>
      </c>
      <c r="G373">
        <v>79</v>
      </c>
      <c r="H373" t="s">
        <v>500</v>
      </c>
      <c r="I373" t="s">
        <v>501</v>
      </c>
      <c r="J373" t="s">
        <v>138</v>
      </c>
      <c r="K373" t="s">
        <v>40</v>
      </c>
      <c r="L373">
        <v>1</v>
      </c>
      <c r="M373" s="5">
        <v>3455</v>
      </c>
      <c r="N373" s="5">
        <f>+M373*1.3</f>
        <v>4491.5</v>
      </c>
      <c r="O373" s="2">
        <f>+N373-M373</f>
        <v>1036.5</v>
      </c>
    </row>
    <row r="374" spans="1:15" x14ac:dyDescent="0.2">
      <c r="A374" t="s">
        <v>88</v>
      </c>
      <c r="B374">
        <v>1</v>
      </c>
      <c r="C374" t="s">
        <v>14</v>
      </c>
      <c r="D374" t="s">
        <v>89</v>
      </c>
      <c r="E374" t="s">
        <v>16</v>
      </c>
      <c r="F374" t="s">
        <v>16</v>
      </c>
      <c r="G374">
        <v>96</v>
      </c>
      <c r="H374" t="s">
        <v>502</v>
      </c>
      <c r="I374" t="s">
        <v>503</v>
      </c>
      <c r="J374" t="s">
        <v>39</v>
      </c>
      <c r="K374" t="s">
        <v>40</v>
      </c>
      <c r="L374">
        <v>1</v>
      </c>
      <c r="M374" s="5">
        <v>5384</v>
      </c>
      <c r="N374" s="5">
        <f>+M374*1.3</f>
        <v>6999.2</v>
      </c>
      <c r="O374" s="2">
        <f>+N374-M374</f>
        <v>1615.1999999999998</v>
      </c>
    </row>
    <row r="375" spans="1:15" x14ac:dyDescent="0.2">
      <c r="A375" t="s">
        <v>88</v>
      </c>
      <c r="B375">
        <v>1</v>
      </c>
      <c r="C375" t="s">
        <v>14</v>
      </c>
      <c r="D375" t="s">
        <v>89</v>
      </c>
      <c r="E375" t="s">
        <v>16</v>
      </c>
      <c r="F375" t="s">
        <v>16</v>
      </c>
      <c r="G375">
        <v>40</v>
      </c>
      <c r="H375" t="s">
        <v>504</v>
      </c>
      <c r="I375" t="s">
        <v>505</v>
      </c>
      <c r="J375" t="s">
        <v>26</v>
      </c>
      <c r="K375" t="s">
        <v>27</v>
      </c>
      <c r="L375">
        <v>4</v>
      </c>
      <c r="M375" s="5">
        <v>62842</v>
      </c>
      <c r="N375" s="5">
        <f>+M375*1.3</f>
        <v>81694.600000000006</v>
      </c>
      <c r="O375" s="2">
        <f>+N375-M375</f>
        <v>18852.600000000006</v>
      </c>
    </row>
    <row r="376" spans="1:15" x14ac:dyDescent="0.2">
      <c r="A376" t="s">
        <v>41</v>
      </c>
      <c r="B376">
        <v>1</v>
      </c>
      <c r="C376" t="s">
        <v>14</v>
      </c>
      <c r="D376" t="s">
        <v>299</v>
      </c>
      <c r="E376" t="s">
        <v>16</v>
      </c>
      <c r="F376" t="s">
        <v>16</v>
      </c>
      <c r="G376">
        <v>2</v>
      </c>
      <c r="H376" t="s">
        <v>506</v>
      </c>
      <c r="I376" t="s">
        <v>507</v>
      </c>
      <c r="J376" t="s">
        <v>70</v>
      </c>
      <c r="K376" t="s">
        <v>50</v>
      </c>
      <c r="L376">
        <v>1</v>
      </c>
      <c r="M376" s="5">
        <v>63807</v>
      </c>
      <c r="N376" s="5">
        <f>+M376*1.3</f>
        <v>82949.100000000006</v>
      </c>
      <c r="O376" s="2">
        <f>+N376-M376</f>
        <v>19142.100000000006</v>
      </c>
    </row>
    <row r="377" spans="1:15" x14ac:dyDescent="0.2">
      <c r="A377" t="s">
        <v>13</v>
      </c>
      <c r="B377">
        <v>1</v>
      </c>
      <c r="C377" t="s">
        <v>14</v>
      </c>
      <c r="D377" t="s">
        <v>15</v>
      </c>
      <c r="E377" t="s">
        <v>16</v>
      </c>
      <c r="F377" t="s">
        <v>16</v>
      </c>
      <c r="G377">
        <v>7</v>
      </c>
      <c r="H377" t="s">
        <v>508</v>
      </c>
      <c r="I377" t="s">
        <v>509</v>
      </c>
      <c r="J377" t="s">
        <v>39</v>
      </c>
      <c r="K377" t="s">
        <v>40</v>
      </c>
      <c r="L377">
        <v>1</v>
      </c>
      <c r="M377" s="5">
        <v>3770</v>
      </c>
      <c r="N377" s="5">
        <f>+M377*1.3</f>
        <v>4901</v>
      </c>
      <c r="O377" s="2">
        <f>+N377-M377</f>
        <v>1131</v>
      </c>
    </row>
    <row r="378" spans="1:15" x14ac:dyDescent="0.2">
      <c r="A378" t="s">
        <v>21</v>
      </c>
      <c r="B378">
        <v>1</v>
      </c>
      <c r="C378" t="s">
        <v>14</v>
      </c>
      <c r="D378" t="s">
        <v>15</v>
      </c>
      <c r="E378" t="s">
        <v>16</v>
      </c>
      <c r="F378" t="s">
        <v>16</v>
      </c>
      <c r="G378">
        <v>7</v>
      </c>
      <c r="H378" t="s">
        <v>508</v>
      </c>
      <c r="I378" t="s">
        <v>509</v>
      </c>
      <c r="J378" t="s">
        <v>39</v>
      </c>
      <c r="K378" t="s">
        <v>40</v>
      </c>
      <c r="L378">
        <v>1</v>
      </c>
      <c r="M378" s="5">
        <v>3770</v>
      </c>
      <c r="N378" s="5">
        <f>+M378*1.3</f>
        <v>4901</v>
      </c>
      <c r="O378" s="2">
        <f>+N378-M378</f>
        <v>1131</v>
      </c>
    </row>
    <row r="379" spans="1:15" x14ac:dyDescent="0.2">
      <c r="A379" t="s">
        <v>35</v>
      </c>
      <c r="B379">
        <v>1</v>
      </c>
      <c r="C379" t="s">
        <v>14</v>
      </c>
      <c r="D379" t="s">
        <v>36</v>
      </c>
      <c r="E379" t="s">
        <v>16</v>
      </c>
      <c r="F379" t="s">
        <v>16</v>
      </c>
      <c r="G379">
        <v>2</v>
      </c>
      <c r="H379" t="s">
        <v>510</v>
      </c>
      <c r="I379" t="s">
        <v>511</v>
      </c>
      <c r="J379" t="s">
        <v>123</v>
      </c>
      <c r="K379" t="s">
        <v>57</v>
      </c>
      <c r="L379">
        <v>1</v>
      </c>
      <c r="M379" s="5">
        <v>502542</v>
      </c>
      <c r="N379" s="5">
        <f>+M379*1.3</f>
        <v>653304.6</v>
      </c>
      <c r="O379" s="2">
        <f>+N379-M379</f>
        <v>150762.59999999998</v>
      </c>
    </row>
    <row r="380" spans="1:15" x14ac:dyDescent="0.2">
      <c r="A380" t="s">
        <v>41</v>
      </c>
      <c r="B380">
        <v>1</v>
      </c>
      <c r="C380" t="s">
        <v>14</v>
      </c>
      <c r="D380" t="s">
        <v>36</v>
      </c>
      <c r="E380" t="s">
        <v>16</v>
      </c>
      <c r="F380" t="s">
        <v>16</v>
      </c>
      <c r="G380">
        <v>2</v>
      </c>
      <c r="H380" t="s">
        <v>510</v>
      </c>
      <c r="I380" t="s">
        <v>511</v>
      </c>
      <c r="J380" t="s">
        <v>123</v>
      </c>
      <c r="K380" t="s">
        <v>57</v>
      </c>
      <c r="L380">
        <v>1</v>
      </c>
      <c r="M380" s="5">
        <v>502542</v>
      </c>
      <c r="N380" s="5">
        <f>+M380*1.3</f>
        <v>653304.6</v>
      </c>
      <c r="O380" s="2">
        <f>+N380-M380</f>
        <v>150762.59999999998</v>
      </c>
    </row>
    <row r="381" spans="1:15" x14ac:dyDescent="0.2">
      <c r="A381" t="s">
        <v>21</v>
      </c>
      <c r="B381">
        <v>3</v>
      </c>
      <c r="C381" t="s">
        <v>14</v>
      </c>
      <c r="D381" t="s">
        <v>36</v>
      </c>
      <c r="E381" t="s">
        <v>16</v>
      </c>
      <c r="F381" t="s">
        <v>16</v>
      </c>
      <c r="G381">
        <v>2</v>
      </c>
      <c r="H381" t="s">
        <v>510</v>
      </c>
      <c r="I381" t="s">
        <v>511</v>
      </c>
      <c r="J381" t="s">
        <v>123</v>
      </c>
      <c r="K381" t="s">
        <v>57</v>
      </c>
      <c r="L381">
        <v>1</v>
      </c>
      <c r="M381" s="5">
        <v>502542</v>
      </c>
      <c r="N381" s="5">
        <f>+M381*1.3</f>
        <v>653304.6</v>
      </c>
      <c r="O381" s="2">
        <f>+N381-M381</f>
        <v>150762.59999999998</v>
      </c>
    </row>
    <row r="382" spans="1:15" x14ac:dyDescent="0.2">
      <c r="A382" t="s">
        <v>28</v>
      </c>
      <c r="B382">
        <v>1</v>
      </c>
      <c r="C382" t="s">
        <v>14</v>
      </c>
      <c r="D382" t="s">
        <v>36</v>
      </c>
      <c r="E382" t="s">
        <v>16</v>
      </c>
      <c r="F382" t="s">
        <v>16</v>
      </c>
      <c r="G382">
        <v>2</v>
      </c>
      <c r="H382" t="s">
        <v>510</v>
      </c>
      <c r="I382" t="s">
        <v>511</v>
      </c>
      <c r="J382" t="s">
        <v>123</v>
      </c>
      <c r="K382" t="s">
        <v>57</v>
      </c>
      <c r="L382">
        <v>1</v>
      </c>
      <c r="M382" s="5">
        <v>502542</v>
      </c>
      <c r="N382" s="5">
        <f>+M382*1.3</f>
        <v>653304.6</v>
      </c>
      <c r="O382" s="2">
        <f>+N382-M382</f>
        <v>150762.59999999998</v>
      </c>
    </row>
    <row r="383" spans="1:15" x14ac:dyDescent="0.2">
      <c r="A383" t="s">
        <v>13</v>
      </c>
      <c r="B383">
        <v>2</v>
      </c>
      <c r="C383" t="s">
        <v>14</v>
      </c>
      <c r="D383" t="s">
        <v>15</v>
      </c>
      <c r="E383" t="s">
        <v>16</v>
      </c>
      <c r="F383" t="s">
        <v>16</v>
      </c>
      <c r="G383">
        <v>5</v>
      </c>
      <c r="H383" t="s">
        <v>512</v>
      </c>
      <c r="I383" t="s">
        <v>513</v>
      </c>
      <c r="J383" t="s">
        <v>32</v>
      </c>
      <c r="K383" t="s">
        <v>27</v>
      </c>
      <c r="L383">
        <v>1</v>
      </c>
      <c r="M383" s="5">
        <v>13279</v>
      </c>
      <c r="N383" s="5">
        <f>+M383*1.3</f>
        <v>17262.7</v>
      </c>
      <c r="O383" s="2">
        <f>+N383-M383</f>
        <v>3983.7000000000007</v>
      </c>
    </row>
    <row r="384" spans="1:15" x14ac:dyDescent="0.2">
      <c r="A384" t="s">
        <v>21</v>
      </c>
      <c r="B384">
        <v>1</v>
      </c>
      <c r="C384" t="s">
        <v>14</v>
      </c>
      <c r="D384" t="s">
        <v>15</v>
      </c>
      <c r="E384" t="s">
        <v>16</v>
      </c>
      <c r="F384" t="s">
        <v>16</v>
      </c>
      <c r="G384">
        <v>5</v>
      </c>
      <c r="H384" t="s">
        <v>512</v>
      </c>
      <c r="I384" t="s">
        <v>513</v>
      </c>
      <c r="J384" t="s">
        <v>32</v>
      </c>
      <c r="K384" t="s">
        <v>27</v>
      </c>
      <c r="L384">
        <v>1</v>
      </c>
      <c r="M384" s="5">
        <v>13279</v>
      </c>
      <c r="N384" s="5">
        <f>+M384*1.3</f>
        <v>17262.7</v>
      </c>
      <c r="O384" s="2">
        <f>+N384-M384</f>
        <v>3983.7000000000007</v>
      </c>
    </row>
    <row r="385" spans="1:15" x14ac:dyDescent="0.2">
      <c r="A385" t="s">
        <v>88</v>
      </c>
      <c r="B385">
        <v>3</v>
      </c>
      <c r="C385" t="s">
        <v>14</v>
      </c>
      <c r="D385" t="s">
        <v>89</v>
      </c>
      <c r="E385" t="s">
        <v>16</v>
      </c>
      <c r="F385" t="s">
        <v>16</v>
      </c>
      <c r="G385">
        <v>10</v>
      </c>
      <c r="H385" t="s">
        <v>514</v>
      </c>
      <c r="I385" t="s">
        <v>515</v>
      </c>
      <c r="J385" t="s">
        <v>123</v>
      </c>
      <c r="K385" t="s">
        <v>57</v>
      </c>
      <c r="L385">
        <v>1</v>
      </c>
      <c r="M385" s="5">
        <v>494561</v>
      </c>
      <c r="N385" s="5">
        <f>+M385*1.3</f>
        <v>642929.30000000005</v>
      </c>
      <c r="O385" s="2">
        <f>+N385-M385</f>
        <v>148368.30000000005</v>
      </c>
    </row>
    <row r="386" spans="1:15" x14ac:dyDescent="0.2">
      <c r="A386" t="s">
        <v>88</v>
      </c>
      <c r="B386">
        <v>1</v>
      </c>
      <c r="C386" t="s">
        <v>14</v>
      </c>
      <c r="D386" t="s">
        <v>89</v>
      </c>
      <c r="E386" t="s">
        <v>16</v>
      </c>
      <c r="F386" t="s">
        <v>16</v>
      </c>
      <c r="G386">
        <v>81</v>
      </c>
      <c r="H386" t="s">
        <v>516</v>
      </c>
      <c r="I386" t="s">
        <v>517</v>
      </c>
      <c r="J386" t="s">
        <v>39</v>
      </c>
      <c r="K386" t="s">
        <v>40</v>
      </c>
      <c r="L386">
        <v>1</v>
      </c>
      <c r="M386" s="5">
        <v>3466</v>
      </c>
      <c r="N386" s="5">
        <f>+M386*1.3</f>
        <v>4505.8</v>
      </c>
      <c r="O386" s="2">
        <f>+N386-M386</f>
        <v>1039.8000000000002</v>
      </c>
    </row>
    <row r="387" spans="1:15" x14ac:dyDescent="0.2">
      <c r="A387" t="s">
        <v>35</v>
      </c>
      <c r="B387">
        <v>1</v>
      </c>
      <c r="C387" t="s">
        <v>14</v>
      </c>
      <c r="D387" t="s">
        <v>36</v>
      </c>
      <c r="E387" t="s">
        <v>16</v>
      </c>
      <c r="F387" t="s">
        <v>16</v>
      </c>
      <c r="G387">
        <v>6</v>
      </c>
      <c r="H387" t="s">
        <v>518</v>
      </c>
      <c r="I387" t="s">
        <v>519</v>
      </c>
      <c r="J387" t="s">
        <v>70</v>
      </c>
      <c r="K387" t="s">
        <v>50</v>
      </c>
      <c r="L387">
        <v>1</v>
      </c>
      <c r="M387" s="5">
        <v>79772</v>
      </c>
      <c r="N387" s="5">
        <f>+M387*1.3</f>
        <v>103703.6</v>
      </c>
      <c r="O387" s="2">
        <f>+N387-M387</f>
        <v>23931.600000000006</v>
      </c>
    </row>
    <row r="388" spans="1:15" x14ac:dyDescent="0.2">
      <c r="A388" t="s">
        <v>41</v>
      </c>
      <c r="B388">
        <v>1</v>
      </c>
      <c r="C388" t="s">
        <v>14</v>
      </c>
      <c r="D388" t="s">
        <v>36</v>
      </c>
      <c r="E388" t="s">
        <v>16</v>
      </c>
      <c r="F388" t="s">
        <v>16</v>
      </c>
      <c r="G388">
        <v>6</v>
      </c>
      <c r="H388" t="s">
        <v>518</v>
      </c>
      <c r="I388" t="s">
        <v>519</v>
      </c>
      <c r="J388" t="s">
        <v>70</v>
      </c>
      <c r="K388" t="s">
        <v>50</v>
      </c>
      <c r="L388">
        <v>1</v>
      </c>
      <c r="M388" s="5">
        <v>79772</v>
      </c>
      <c r="N388" s="5">
        <f>+M388*1.3</f>
        <v>103703.6</v>
      </c>
      <c r="O388" s="2">
        <f>+N388-M388</f>
        <v>23931.600000000006</v>
      </c>
    </row>
    <row r="389" spans="1:15" x14ac:dyDescent="0.2">
      <c r="A389" t="s">
        <v>21</v>
      </c>
      <c r="B389">
        <v>2</v>
      </c>
      <c r="C389" t="s">
        <v>14</v>
      </c>
      <c r="D389" t="s">
        <v>36</v>
      </c>
      <c r="E389" t="s">
        <v>16</v>
      </c>
      <c r="F389" t="s">
        <v>16</v>
      </c>
      <c r="G389">
        <v>6</v>
      </c>
      <c r="H389" t="s">
        <v>518</v>
      </c>
      <c r="I389" t="s">
        <v>519</v>
      </c>
      <c r="J389" t="s">
        <v>70</v>
      </c>
      <c r="K389" t="s">
        <v>50</v>
      </c>
      <c r="L389">
        <v>1</v>
      </c>
      <c r="M389" s="5">
        <v>79772</v>
      </c>
      <c r="N389" s="5">
        <f>+M389*1.3</f>
        <v>103703.6</v>
      </c>
      <c r="O389" s="2">
        <f>+N389-M389</f>
        <v>23931.600000000006</v>
      </c>
    </row>
    <row r="390" spans="1:15" x14ac:dyDescent="0.2">
      <c r="A390" t="s">
        <v>28</v>
      </c>
      <c r="B390">
        <v>1</v>
      </c>
      <c r="C390" t="s">
        <v>14</v>
      </c>
      <c r="D390" t="s">
        <v>36</v>
      </c>
      <c r="E390" t="s">
        <v>16</v>
      </c>
      <c r="F390" t="s">
        <v>16</v>
      </c>
      <c r="G390">
        <v>6</v>
      </c>
      <c r="H390" t="s">
        <v>518</v>
      </c>
      <c r="I390" t="s">
        <v>519</v>
      </c>
      <c r="J390" t="s">
        <v>70</v>
      </c>
      <c r="K390" t="s">
        <v>50</v>
      </c>
      <c r="L390">
        <v>1</v>
      </c>
      <c r="M390" s="5">
        <v>79772</v>
      </c>
      <c r="N390" s="5">
        <f>+M390*1.3</f>
        <v>103703.6</v>
      </c>
      <c r="O390" s="2">
        <f>+N390-M390</f>
        <v>23931.600000000006</v>
      </c>
    </row>
    <row r="391" spans="1:15" x14ac:dyDescent="0.2">
      <c r="A391" t="s">
        <v>88</v>
      </c>
      <c r="B391">
        <v>1</v>
      </c>
      <c r="C391" t="s">
        <v>14</v>
      </c>
      <c r="D391" t="s">
        <v>89</v>
      </c>
      <c r="E391" t="s">
        <v>16</v>
      </c>
      <c r="F391" t="s">
        <v>16</v>
      </c>
      <c r="G391">
        <v>36</v>
      </c>
      <c r="H391" t="s">
        <v>520</v>
      </c>
      <c r="I391" t="s">
        <v>521</v>
      </c>
      <c r="J391" t="s">
        <v>32</v>
      </c>
      <c r="K391" t="s">
        <v>27</v>
      </c>
      <c r="L391">
        <v>1</v>
      </c>
      <c r="M391" s="5">
        <v>12745</v>
      </c>
      <c r="N391" s="5">
        <f>+M391*1.3</f>
        <v>16568.5</v>
      </c>
      <c r="O391" s="2">
        <f>+N391-M391</f>
        <v>3823.5</v>
      </c>
    </row>
    <row r="392" spans="1:15" x14ac:dyDescent="0.2">
      <c r="A392" t="s">
        <v>13</v>
      </c>
      <c r="B392">
        <v>1</v>
      </c>
      <c r="C392" t="s">
        <v>14</v>
      </c>
      <c r="D392" t="s">
        <v>29</v>
      </c>
      <c r="E392" t="s">
        <v>16</v>
      </c>
      <c r="F392" t="s">
        <v>16</v>
      </c>
      <c r="G392">
        <v>5</v>
      </c>
      <c r="H392" t="s">
        <v>522</v>
      </c>
      <c r="I392" t="s">
        <v>523</v>
      </c>
      <c r="J392" t="s">
        <v>39</v>
      </c>
      <c r="K392" t="s">
        <v>40</v>
      </c>
      <c r="L392">
        <v>1</v>
      </c>
      <c r="M392" s="5">
        <v>3481</v>
      </c>
      <c r="N392" s="5">
        <f>+M392*1.3</f>
        <v>4525.3</v>
      </c>
      <c r="O392" s="2">
        <f>+N392-M392</f>
        <v>1044.3000000000002</v>
      </c>
    </row>
    <row r="393" spans="1:15" x14ac:dyDescent="0.2">
      <c r="A393" t="s">
        <v>21</v>
      </c>
      <c r="B393">
        <v>1</v>
      </c>
      <c r="C393" t="s">
        <v>14</v>
      </c>
      <c r="D393" t="s">
        <v>29</v>
      </c>
      <c r="E393" t="s">
        <v>16</v>
      </c>
      <c r="F393" t="s">
        <v>16</v>
      </c>
      <c r="G393">
        <v>5</v>
      </c>
      <c r="H393" t="s">
        <v>522</v>
      </c>
      <c r="I393" t="s">
        <v>523</v>
      </c>
      <c r="J393" t="s">
        <v>39</v>
      </c>
      <c r="K393" t="s">
        <v>40</v>
      </c>
      <c r="L393">
        <v>1</v>
      </c>
      <c r="M393" s="5">
        <v>3481</v>
      </c>
      <c r="N393" s="5">
        <f>+M393*1.3</f>
        <v>4525.3</v>
      </c>
      <c r="O393" s="2">
        <f>+N393-M393</f>
        <v>1044.3000000000002</v>
      </c>
    </row>
    <row r="394" spans="1:15" x14ac:dyDescent="0.2">
      <c r="A394" t="s">
        <v>13</v>
      </c>
      <c r="B394">
        <v>1</v>
      </c>
      <c r="C394" t="s">
        <v>14</v>
      </c>
      <c r="D394" t="s">
        <v>15</v>
      </c>
      <c r="E394" t="s">
        <v>16</v>
      </c>
      <c r="F394" t="s">
        <v>16</v>
      </c>
      <c r="G394">
        <v>6</v>
      </c>
      <c r="H394" t="s">
        <v>524</v>
      </c>
      <c r="I394" t="s">
        <v>525</v>
      </c>
      <c r="J394" t="s">
        <v>138</v>
      </c>
      <c r="K394" t="s">
        <v>40</v>
      </c>
      <c r="L394">
        <v>12</v>
      </c>
      <c r="M394" s="5">
        <v>43110</v>
      </c>
      <c r="N394" s="5">
        <f>+M394*1.3</f>
        <v>56043</v>
      </c>
      <c r="O394" s="2">
        <f>+N394-M394</f>
        <v>12933</v>
      </c>
    </row>
    <row r="395" spans="1:15" x14ac:dyDescent="0.2">
      <c r="A395" t="s">
        <v>21</v>
      </c>
      <c r="B395">
        <v>1</v>
      </c>
      <c r="C395" t="s">
        <v>14</v>
      </c>
      <c r="D395" t="s">
        <v>15</v>
      </c>
      <c r="E395" t="s">
        <v>16</v>
      </c>
      <c r="F395" t="s">
        <v>16</v>
      </c>
      <c r="G395">
        <v>6</v>
      </c>
      <c r="H395" t="s">
        <v>524</v>
      </c>
      <c r="I395" t="s">
        <v>525</v>
      </c>
      <c r="J395" t="s">
        <v>138</v>
      </c>
      <c r="K395" t="s">
        <v>40</v>
      </c>
      <c r="L395">
        <v>12</v>
      </c>
      <c r="M395" s="5">
        <v>43110</v>
      </c>
      <c r="N395" s="5">
        <f>+M395*1.3</f>
        <v>56043</v>
      </c>
      <c r="O395" s="2">
        <f>+N395-M395</f>
        <v>12933</v>
      </c>
    </row>
    <row r="396" spans="1:15" x14ac:dyDescent="0.2">
      <c r="A396" t="s">
        <v>13</v>
      </c>
      <c r="B396">
        <v>2</v>
      </c>
      <c r="C396" t="s">
        <v>14</v>
      </c>
      <c r="D396" t="s">
        <v>29</v>
      </c>
      <c r="E396" t="s">
        <v>16</v>
      </c>
      <c r="F396" t="s">
        <v>16</v>
      </c>
      <c r="G396">
        <v>3</v>
      </c>
      <c r="H396" t="s">
        <v>526</v>
      </c>
      <c r="I396" t="s">
        <v>527</v>
      </c>
      <c r="J396" t="s">
        <v>32</v>
      </c>
      <c r="K396" t="s">
        <v>27</v>
      </c>
      <c r="L396">
        <v>1</v>
      </c>
      <c r="M396" s="5">
        <v>12381</v>
      </c>
      <c r="N396" s="5">
        <f>+M396*1.3</f>
        <v>16095.300000000001</v>
      </c>
      <c r="O396" s="2">
        <f>+N396-M396</f>
        <v>3714.3000000000011</v>
      </c>
    </row>
    <row r="397" spans="1:15" x14ac:dyDescent="0.2">
      <c r="A397" t="s">
        <v>21</v>
      </c>
      <c r="B397">
        <v>1</v>
      </c>
      <c r="C397" t="s">
        <v>14</v>
      </c>
      <c r="D397" t="s">
        <v>29</v>
      </c>
      <c r="E397" t="s">
        <v>16</v>
      </c>
      <c r="F397" t="s">
        <v>16</v>
      </c>
      <c r="G397">
        <v>3</v>
      </c>
      <c r="H397" t="s">
        <v>526</v>
      </c>
      <c r="I397" t="s">
        <v>527</v>
      </c>
      <c r="J397" t="s">
        <v>32</v>
      </c>
      <c r="K397" t="s">
        <v>27</v>
      </c>
      <c r="L397">
        <v>1</v>
      </c>
      <c r="M397" s="5">
        <v>12381</v>
      </c>
      <c r="N397" s="5">
        <f>+M397*1.3</f>
        <v>16095.300000000001</v>
      </c>
      <c r="O397" s="2">
        <f>+N397-M397</f>
        <v>3714.3000000000011</v>
      </c>
    </row>
    <row r="398" spans="1:15" x14ac:dyDescent="0.2">
      <c r="A398" t="s">
        <v>13</v>
      </c>
      <c r="B398">
        <v>2</v>
      </c>
      <c r="C398" t="s">
        <v>14</v>
      </c>
      <c r="D398" t="s">
        <v>15</v>
      </c>
      <c r="E398" t="s">
        <v>16</v>
      </c>
      <c r="F398" t="s">
        <v>16</v>
      </c>
      <c r="G398">
        <v>8</v>
      </c>
      <c r="H398" t="s">
        <v>528</v>
      </c>
      <c r="I398" t="s">
        <v>529</v>
      </c>
      <c r="J398" t="s">
        <v>26</v>
      </c>
      <c r="K398" t="s">
        <v>27</v>
      </c>
      <c r="L398">
        <v>4</v>
      </c>
      <c r="M398" s="5">
        <v>73194</v>
      </c>
      <c r="N398" s="5">
        <f>+M398*1.3</f>
        <v>95152.2</v>
      </c>
      <c r="O398" s="2">
        <f>+N398-M398</f>
        <v>21958.199999999997</v>
      </c>
    </row>
    <row r="399" spans="1:15" x14ac:dyDescent="0.2">
      <c r="A399" t="s">
        <v>21</v>
      </c>
      <c r="B399">
        <v>1</v>
      </c>
      <c r="C399" t="s">
        <v>14</v>
      </c>
      <c r="D399" t="s">
        <v>15</v>
      </c>
      <c r="E399" t="s">
        <v>16</v>
      </c>
      <c r="F399" t="s">
        <v>16</v>
      </c>
      <c r="G399">
        <v>8</v>
      </c>
      <c r="H399" t="s">
        <v>528</v>
      </c>
      <c r="I399" t="s">
        <v>529</v>
      </c>
      <c r="J399" t="s">
        <v>26</v>
      </c>
      <c r="K399" t="s">
        <v>27</v>
      </c>
      <c r="L399">
        <v>4</v>
      </c>
      <c r="M399" s="5">
        <v>73194</v>
      </c>
      <c r="N399" s="5">
        <f>+M399*1.3</f>
        <v>95152.2</v>
      </c>
      <c r="O399" s="2">
        <f>+N399-M399</f>
        <v>21958.199999999997</v>
      </c>
    </row>
    <row r="400" spans="1:15" x14ac:dyDescent="0.2">
      <c r="A400" t="s">
        <v>13</v>
      </c>
      <c r="B400">
        <v>2</v>
      </c>
      <c r="C400" t="s">
        <v>14</v>
      </c>
      <c r="D400" t="s">
        <v>85</v>
      </c>
      <c r="E400" t="s">
        <v>16</v>
      </c>
      <c r="F400" t="s">
        <v>16</v>
      </c>
      <c r="G400">
        <v>4</v>
      </c>
      <c r="H400" t="s">
        <v>530</v>
      </c>
      <c r="I400" t="s">
        <v>531</v>
      </c>
      <c r="J400" t="s">
        <v>32</v>
      </c>
      <c r="K400" t="s">
        <v>27</v>
      </c>
      <c r="L400">
        <v>1</v>
      </c>
      <c r="M400" s="5">
        <v>12982</v>
      </c>
      <c r="N400" s="5">
        <f>+M400*1.3</f>
        <v>16876.600000000002</v>
      </c>
      <c r="O400" s="2">
        <f>+N400-M400</f>
        <v>3894.6000000000022</v>
      </c>
    </row>
    <row r="401" spans="1:15" x14ac:dyDescent="0.2">
      <c r="A401" t="s">
        <v>21</v>
      </c>
      <c r="B401">
        <v>1</v>
      </c>
      <c r="C401" t="s">
        <v>14</v>
      </c>
      <c r="D401" t="s">
        <v>85</v>
      </c>
      <c r="E401" t="s">
        <v>16</v>
      </c>
      <c r="F401" t="s">
        <v>16</v>
      </c>
      <c r="G401">
        <v>4</v>
      </c>
      <c r="H401" t="s">
        <v>530</v>
      </c>
      <c r="I401" t="s">
        <v>531</v>
      </c>
      <c r="J401" t="s">
        <v>32</v>
      </c>
      <c r="K401" t="s">
        <v>27</v>
      </c>
      <c r="L401">
        <v>1</v>
      </c>
      <c r="M401" s="5">
        <v>12982</v>
      </c>
      <c r="N401" s="5">
        <f>+M401*1.3</f>
        <v>16876.600000000002</v>
      </c>
      <c r="O401" s="2">
        <f>+N401-M401</f>
        <v>3894.6000000000022</v>
      </c>
    </row>
    <row r="402" spans="1:15" x14ac:dyDescent="0.2">
      <c r="A402" t="s">
        <v>88</v>
      </c>
      <c r="B402">
        <v>1</v>
      </c>
      <c r="C402" t="s">
        <v>14</v>
      </c>
      <c r="D402" t="s">
        <v>89</v>
      </c>
      <c r="E402" t="s">
        <v>16</v>
      </c>
      <c r="F402" t="s">
        <v>16</v>
      </c>
      <c r="G402">
        <v>39</v>
      </c>
      <c r="H402" t="s">
        <v>532</v>
      </c>
      <c r="I402" t="s">
        <v>533</v>
      </c>
      <c r="J402" t="s">
        <v>26</v>
      </c>
      <c r="K402" t="s">
        <v>27</v>
      </c>
      <c r="L402">
        <v>4</v>
      </c>
      <c r="M402" s="5">
        <v>56749</v>
      </c>
      <c r="N402" s="5">
        <f>+M402*1.3</f>
        <v>73773.7</v>
      </c>
      <c r="O402" s="2">
        <f>+N402-M402</f>
        <v>17024.699999999997</v>
      </c>
    </row>
    <row r="403" spans="1:15" x14ac:dyDescent="0.2">
      <c r="A403" t="s">
        <v>35</v>
      </c>
      <c r="B403">
        <v>3</v>
      </c>
      <c r="C403" t="s">
        <v>14</v>
      </c>
      <c r="D403" t="s">
        <v>36</v>
      </c>
      <c r="E403" t="s">
        <v>16</v>
      </c>
      <c r="F403" t="s">
        <v>16</v>
      </c>
      <c r="G403">
        <v>13</v>
      </c>
      <c r="H403" t="s">
        <v>534</v>
      </c>
      <c r="I403" t="s">
        <v>535</v>
      </c>
      <c r="J403" t="s">
        <v>39</v>
      </c>
      <c r="K403" t="s">
        <v>40</v>
      </c>
      <c r="L403">
        <v>1</v>
      </c>
      <c r="M403" s="5">
        <v>3951</v>
      </c>
      <c r="N403" s="5">
        <f>+M403*1.3</f>
        <v>5136.3</v>
      </c>
      <c r="O403" s="2">
        <f>+N403-M403</f>
        <v>1185.3000000000002</v>
      </c>
    </row>
    <row r="404" spans="1:15" x14ac:dyDescent="0.2">
      <c r="A404" t="s">
        <v>41</v>
      </c>
      <c r="B404">
        <v>3</v>
      </c>
      <c r="C404" t="s">
        <v>14</v>
      </c>
      <c r="D404" t="s">
        <v>36</v>
      </c>
      <c r="E404" t="s">
        <v>16</v>
      </c>
      <c r="F404" t="s">
        <v>16</v>
      </c>
      <c r="G404">
        <v>13</v>
      </c>
      <c r="H404" t="s">
        <v>534</v>
      </c>
      <c r="I404" t="s">
        <v>535</v>
      </c>
      <c r="J404" t="s">
        <v>39</v>
      </c>
      <c r="K404" t="s">
        <v>40</v>
      </c>
      <c r="L404">
        <v>1</v>
      </c>
      <c r="M404" s="5">
        <v>3951</v>
      </c>
      <c r="N404" s="5">
        <f>+M404*1.3</f>
        <v>5136.3</v>
      </c>
      <c r="O404" s="2">
        <f>+N404-M404</f>
        <v>1185.3000000000002</v>
      </c>
    </row>
    <row r="405" spans="1:15" x14ac:dyDescent="0.2">
      <c r="A405" t="s">
        <v>21</v>
      </c>
      <c r="B405">
        <v>1</v>
      </c>
      <c r="C405" t="s">
        <v>14</v>
      </c>
      <c r="D405" t="s">
        <v>36</v>
      </c>
      <c r="E405" t="s">
        <v>16</v>
      </c>
      <c r="F405" t="s">
        <v>16</v>
      </c>
      <c r="G405">
        <v>13</v>
      </c>
      <c r="H405" t="s">
        <v>534</v>
      </c>
      <c r="I405" t="s">
        <v>535</v>
      </c>
      <c r="J405" t="s">
        <v>39</v>
      </c>
      <c r="K405" t="s">
        <v>40</v>
      </c>
      <c r="L405">
        <v>1</v>
      </c>
      <c r="M405" s="5">
        <v>3951</v>
      </c>
      <c r="N405" s="5">
        <f>+M405*1.3</f>
        <v>5136.3</v>
      </c>
      <c r="O405" s="2">
        <f>+N405-M405</f>
        <v>1185.3000000000002</v>
      </c>
    </row>
    <row r="406" spans="1:15" x14ac:dyDescent="0.2">
      <c r="A406" t="s">
        <v>28</v>
      </c>
      <c r="B406">
        <v>3</v>
      </c>
      <c r="C406" t="s">
        <v>14</v>
      </c>
      <c r="D406" t="s">
        <v>36</v>
      </c>
      <c r="E406" t="s">
        <v>16</v>
      </c>
      <c r="F406" t="s">
        <v>16</v>
      </c>
      <c r="G406">
        <v>13</v>
      </c>
      <c r="H406" t="s">
        <v>534</v>
      </c>
      <c r="I406" t="s">
        <v>535</v>
      </c>
      <c r="J406" t="s">
        <v>39</v>
      </c>
      <c r="K406" t="s">
        <v>40</v>
      </c>
      <c r="L406">
        <v>1</v>
      </c>
      <c r="M406" s="5">
        <v>3951</v>
      </c>
      <c r="N406" s="5">
        <f>+M406*1.3</f>
        <v>5136.3</v>
      </c>
      <c r="O406" s="2">
        <f>+N406-M406</f>
        <v>1185.3000000000002</v>
      </c>
    </row>
    <row r="407" spans="1:15" x14ac:dyDescent="0.2">
      <c r="A407" t="s">
        <v>88</v>
      </c>
      <c r="B407">
        <v>1</v>
      </c>
      <c r="C407" t="s">
        <v>14</v>
      </c>
      <c r="D407" t="s">
        <v>89</v>
      </c>
      <c r="E407" t="s">
        <v>16</v>
      </c>
      <c r="F407" t="s">
        <v>16</v>
      </c>
      <c r="G407">
        <v>30</v>
      </c>
      <c r="H407" t="s">
        <v>536</v>
      </c>
      <c r="I407" t="s">
        <v>537</v>
      </c>
      <c r="J407" t="s">
        <v>26</v>
      </c>
      <c r="K407" t="s">
        <v>27</v>
      </c>
      <c r="L407">
        <v>6</v>
      </c>
      <c r="M407" s="5">
        <v>71585</v>
      </c>
      <c r="N407" s="5">
        <f>+M407*1.3</f>
        <v>93060.5</v>
      </c>
      <c r="O407" s="2">
        <f>+N407-M407</f>
        <v>21475.5</v>
      </c>
    </row>
    <row r="408" spans="1:15" x14ac:dyDescent="0.2">
      <c r="A408" t="s">
        <v>88</v>
      </c>
      <c r="B408">
        <v>2</v>
      </c>
      <c r="C408" t="s">
        <v>14</v>
      </c>
      <c r="D408" t="s">
        <v>89</v>
      </c>
      <c r="E408" t="s">
        <v>16</v>
      </c>
      <c r="F408" t="s">
        <v>16</v>
      </c>
      <c r="G408">
        <v>7</v>
      </c>
      <c r="H408" t="s">
        <v>538</v>
      </c>
      <c r="I408" t="s">
        <v>539</v>
      </c>
      <c r="J408" t="s">
        <v>70</v>
      </c>
      <c r="K408" t="s">
        <v>50</v>
      </c>
      <c r="L408">
        <v>1</v>
      </c>
      <c r="M408" s="5">
        <v>43969</v>
      </c>
      <c r="N408" s="5">
        <f>+M408*1.3</f>
        <v>57159.700000000004</v>
      </c>
      <c r="O408" s="2">
        <f>+N408-M408</f>
        <v>13190.700000000004</v>
      </c>
    </row>
    <row r="409" spans="1:15" x14ac:dyDescent="0.2">
      <c r="A409" t="s">
        <v>35</v>
      </c>
      <c r="B409">
        <v>3</v>
      </c>
      <c r="C409" t="s">
        <v>14</v>
      </c>
      <c r="D409" t="s">
        <v>36</v>
      </c>
      <c r="E409" t="s">
        <v>16</v>
      </c>
      <c r="F409" t="s">
        <v>16</v>
      </c>
      <c r="G409">
        <v>14</v>
      </c>
      <c r="H409" t="s">
        <v>540</v>
      </c>
      <c r="I409" t="s">
        <v>541</v>
      </c>
      <c r="J409" t="s">
        <v>39</v>
      </c>
      <c r="K409" t="s">
        <v>40</v>
      </c>
      <c r="L409">
        <v>1</v>
      </c>
      <c r="M409" s="5">
        <v>4243</v>
      </c>
      <c r="N409" s="5">
        <f>+M409*1.3</f>
        <v>5515.9000000000005</v>
      </c>
      <c r="O409" s="2">
        <f>+N409-M409</f>
        <v>1272.9000000000005</v>
      </c>
    </row>
    <row r="410" spans="1:15" x14ac:dyDescent="0.2">
      <c r="A410" t="s">
        <v>41</v>
      </c>
      <c r="B410">
        <v>3</v>
      </c>
      <c r="C410" t="s">
        <v>14</v>
      </c>
      <c r="D410" t="s">
        <v>36</v>
      </c>
      <c r="E410" t="s">
        <v>16</v>
      </c>
      <c r="F410" t="s">
        <v>16</v>
      </c>
      <c r="G410">
        <v>14</v>
      </c>
      <c r="H410" t="s">
        <v>540</v>
      </c>
      <c r="I410" t="s">
        <v>541</v>
      </c>
      <c r="J410" t="s">
        <v>39</v>
      </c>
      <c r="K410" t="s">
        <v>40</v>
      </c>
      <c r="L410">
        <v>1</v>
      </c>
      <c r="M410" s="5">
        <v>4243</v>
      </c>
      <c r="N410" s="5">
        <f>+M410*1.3</f>
        <v>5515.9000000000005</v>
      </c>
      <c r="O410" s="2">
        <f>+N410-M410</f>
        <v>1272.9000000000005</v>
      </c>
    </row>
    <row r="411" spans="1:15" x14ac:dyDescent="0.2">
      <c r="A411" t="s">
        <v>21</v>
      </c>
      <c r="B411">
        <v>1</v>
      </c>
      <c r="C411" t="s">
        <v>14</v>
      </c>
      <c r="D411" t="s">
        <v>36</v>
      </c>
      <c r="E411" t="s">
        <v>16</v>
      </c>
      <c r="F411" t="s">
        <v>16</v>
      </c>
      <c r="G411">
        <v>14</v>
      </c>
      <c r="H411" t="s">
        <v>540</v>
      </c>
      <c r="I411" t="s">
        <v>541</v>
      </c>
      <c r="J411" t="s">
        <v>39</v>
      </c>
      <c r="K411" t="s">
        <v>40</v>
      </c>
      <c r="L411">
        <v>1</v>
      </c>
      <c r="M411" s="5">
        <v>4243</v>
      </c>
      <c r="N411" s="5">
        <f>+M411*1.3</f>
        <v>5515.9000000000005</v>
      </c>
      <c r="O411" s="2">
        <f>+N411-M411</f>
        <v>1272.9000000000005</v>
      </c>
    </row>
    <row r="412" spans="1:15" x14ac:dyDescent="0.2">
      <c r="A412" t="s">
        <v>28</v>
      </c>
      <c r="B412">
        <v>3</v>
      </c>
      <c r="C412" t="s">
        <v>14</v>
      </c>
      <c r="D412" t="s">
        <v>36</v>
      </c>
      <c r="E412" t="s">
        <v>16</v>
      </c>
      <c r="F412" t="s">
        <v>16</v>
      </c>
      <c r="G412">
        <v>14</v>
      </c>
      <c r="H412" t="s">
        <v>540</v>
      </c>
      <c r="I412" t="s">
        <v>541</v>
      </c>
      <c r="J412" t="s">
        <v>39</v>
      </c>
      <c r="K412" t="s">
        <v>40</v>
      </c>
      <c r="L412">
        <v>1</v>
      </c>
      <c r="M412" s="5">
        <v>4243</v>
      </c>
      <c r="N412" s="5">
        <f>+M412*1.3</f>
        <v>5515.9000000000005</v>
      </c>
      <c r="O412" s="2">
        <f>+N412-M412</f>
        <v>1272.9000000000005</v>
      </c>
    </row>
    <row r="413" spans="1:15" x14ac:dyDescent="0.2">
      <c r="A413" t="s">
        <v>88</v>
      </c>
      <c r="B413">
        <v>3</v>
      </c>
      <c r="C413" t="s">
        <v>14</v>
      </c>
      <c r="D413" t="s">
        <v>89</v>
      </c>
      <c r="E413" t="s">
        <v>16</v>
      </c>
      <c r="F413" t="s">
        <v>16</v>
      </c>
      <c r="G413">
        <v>8</v>
      </c>
      <c r="H413" t="s">
        <v>542</v>
      </c>
      <c r="I413" t="s">
        <v>543</v>
      </c>
      <c r="J413" t="s">
        <v>123</v>
      </c>
      <c r="K413" t="s">
        <v>57</v>
      </c>
      <c r="L413">
        <v>1</v>
      </c>
      <c r="M413" s="5">
        <v>438722</v>
      </c>
      <c r="N413" s="5">
        <f>+M413*1.3</f>
        <v>570338.6</v>
      </c>
      <c r="O413" s="2">
        <f>+N413-M413</f>
        <v>131616.59999999998</v>
      </c>
    </row>
    <row r="414" spans="1:15" x14ac:dyDescent="0.2">
      <c r="A414" t="s">
        <v>13</v>
      </c>
      <c r="B414">
        <v>1</v>
      </c>
      <c r="C414" t="s">
        <v>14</v>
      </c>
      <c r="D414" t="s">
        <v>29</v>
      </c>
      <c r="E414" t="s">
        <v>16</v>
      </c>
      <c r="F414" t="s">
        <v>16</v>
      </c>
      <c r="G414">
        <v>6</v>
      </c>
      <c r="H414" t="s">
        <v>544</v>
      </c>
      <c r="I414" t="s">
        <v>545</v>
      </c>
      <c r="J414" t="s">
        <v>39</v>
      </c>
      <c r="K414" t="s">
        <v>40</v>
      </c>
      <c r="L414">
        <v>1</v>
      </c>
      <c r="M414" s="5">
        <v>3540</v>
      </c>
      <c r="N414" s="5">
        <f>+M414*1.3</f>
        <v>4602</v>
      </c>
      <c r="O414" s="2">
        <f>+N414-M414</f>
        <v>1062</v>
      </c>
    </row>
    <row r="415" spans="1:15" x14ac:dyDescent="0.2">
      <c r="A415" t="s">
        <v>21</v>
      </c>
      <c r="B415">
        <v>1</v>
      </c>
      <c r="C415" t="s">
        <v>14</v>
      </c>
      <c r="D415" t="s">
        <v>29</v>
      </c>
      <c r="E415" t="s">
        <v>16</v>
      </c>
      <c r="F415" t="s">
        <v>16</v>
      </c>
      <c r="G415">
        <v>6</v>
      </c>
      <c r="H415" t="s">
        <v>544</v>
      </c>
      <c r="I415" t="s">
        <v>545</v>
      </c>
      <c r="J415" t="s">
        <v>39</v>
      </c>
      <c r="K415" t="s">
        <v>40</v>
      </c>
      <c r="L415">
        <v>1</v>
      </c>
      <c r="M415" s="5">
        <v>3540</v>
      </c>
      <c r="N415" s="5">
        <f>+M415*1.3</f>
        <v>4602</v>
      </c>
      <c r="O415" s="2">
        <f>+N415-M415</f>
        <v>1062</v>
      </c>
    </row>
    <row r="416" spans="1:15" x14ac:dyDescent="0.2">
      <c r="A416" t="s">
        <v>88</v>
      </c>
      <c r="B416">
        <v>3</v>
      </c>
      <c r="C416" t="s">
        <v>14</v>
      </c>
      <c r="D416" t="s">
        <v>89</v>
      </c>
      <c r="E416" t="s">
        <v>16</v>
      </c>
      <c r="F416" t="s">
        <v>16</v>
      </c>
      <c r="G416">
        <v>7</v>
      </c>
      <c r="H416" t="s">
        <v>546</v>
      </c>
      <c r="I416" t="s">
        <v>547</v>
      </c>
      <c r="J416" t="s">
        <v>123</v>
      </c>
      <c r="K416" t="s">
        <v>57</v>
      </c>
      <c r="L416">
        <v>1</v>
      </c>
      <c r="M416" s="5">
        <v>430746</v>
      </c>
      <c r="N416" s="5">
        <f>+M416*1.3</f>
        <v>559969.80000000005</v>
      </c>
      <c r="O416" s="2">
        <f>+N416-M416</f>
        <v>129223.80000000005</v>
      </c>
    </row>
    <row r="417" spans="1:15" x14ac:dyDescent="0.2">
      <c r="A417" t="s">
        <v>88</v>
      </c>
      <c r="B417">
        <v>3</v>
      </c>
      <c r="C417" t="s">
        <v>14</v>
      </c>
      <c r="D417" t="s">
        <v>89</v>
      </c>
      <c r="E417" t="s">
        <v>16</v>
      </c>
      <c r="F417" t="s">
        <v>16</v>
      </c>
      <c r="G417">
        <v>8</v>
      </c>
      <c r="H417" t="s">
        <v>548</v>
      </c>
      <c r="I417" t="s">
        <v>549</v>
      </c>
      <c r="J417" t="s">
        <v>123</v>
      </c>
      <c r="K417" t="s">
        <v>57</v>
      </c>
      <c r="L417">
        <v>1</v>
      </c>
      <c r="M417" s="5">
        <v>438722</v>
      </c>
      <c r="N417" s="5">
        <f>+M417*1.3</f>
        <v>570338.6</v>
      </c>
      <c r="O417" s="2">
        <f>+N417-M417</f>
        <v>131616.59999999998</v>
      </c>
    </row>
    <row r="418" spans="1:15" x14ac:dyDescent="0.2">
      <c r="A418" t="s">
        <v>88</v>
      </c>
      <c r="B418">
        <v>3</v>
      </c>
      <c r="C418" t="s">
        <v>14</v>
      </c>
      <c r="D418" t="s">
        <v>89</v>
      </c>
      <c r="E418" t="s">
        <v>16</v>
      </c>
      <c r="F418" t="s">
        <v>16</v>
      </c>
      <c r="G418">
        <v>12</v>
      </c>
      <c r="H418" t="s">
        <v>550</v>
      </c>
      <c r="I418" t="s">
        <v>551</v>
      </c>
      <c r="J418" t="s">
        <v>123</v>
      </c>
      <c r="K418" t="s">
        <v>57</v>
      </c>
      <c r="L418">
        <v>1</v>
      </c>
      <c r="M418" s="5">
        <v>500079</v>
      </c>
      <c r="N418" s="5">
        <f>+M418*1.3</f>
        <v>650102.70000000007</v>
      </c>
      <c r="O418" s="2">
        <f>+N418-M418</f>
        <v>150023.70000000007</v>
      </c>
    </row>
    <row r="419" spans="1:15" x14ac:dyDescent="0.2">
      <c r="A419" t="s">
        <v>88</v>
      </c>
      <c r="B419">
        <v>3</v>
      </c>
      <c r="C419" t="s">
        <v>14</v>
      </c>
      <c r="D419" t="s">
        <v>89</v>
      </c>
      <c r="E419" t="s">
        <v>16</v>
      </c>
      <c r="F419" t="s">
        <v>16</v>
      </c>
      <c r="G419">
        <v>2</v>
      </c>
      <c r="H419" t="s">
        <v>552</v>
      </c>
      <c r="I419" t="s">
        <v>553</v>
      </c>
      <c r="J419" t="s">
        <v>123</v>
      </c>
      <c r="K419" t="s">
        <v>57</v>
      </c>
      <c r="L419">
        <v>1</v>
      </c>
      <c r="M419" s="5">
        <v>358954</v>
      </c>
      <c r="N419" s="5">
        <f>+M419*1.3</f>
        <v>466640.2</v>
      </c>
      <c r="O419" s="2">
        <f>+N419-M419</f>
        <v>107686.20000000001</v>
      </c>
    </row>
    <row r="420" spans="1:15" x14ac:dyDescent="0.2">
      <c r="A420" t="s">
        <v>88</v>
      </c>
      <c r="B420">
        <v>2</v>
      </c>
      <c r="C420" t="s">
        <v>14</v>
      </c>
      <c r="D420" t="s">
        <v>89</v>
      </c>
      <c r="E420" t="s">
        <v>16</v>
      </c>
      <c r="F420" t="s">
        <v>16</v>
      </c>
      <c r="G420">
        <v>4</v>
      </c>
      <c r="H420" t="s">
        <v>554</v>
      </c>
      <c r="I420" t="s">
        <v>555</v>
      </c>
      <c r="J420" t="s">
        <v>70</v>
      </c>
      <c r="K420" t="s">
        <v>50</v>
      </c>
      <c r="L420">
        <v>1</v>
      </c>
      <c r="M420" s="5">
        <v>40650</v>
      </c>
      <c r="N420" s="5">
        <f>+M420*1.3</f>
        <v>52845</v>
      </c>
      <c r="O420" s="2">
        <f>+N420-M420</f>
        <v>12195</v>
      </c>
    </row>
    <row r="421" spans="1:15" x14ac:dyDescent="0.2">
      <c r="A421" t="s">
        <v>45</v>
      </c>
      <c r="B421">
        <v>1</v>
      </c>
      <c r="C421" t="s">
        <v>14</v>
      </c>
      <c r="D421" t="s">
        <v>556</v>
      </c>
      <c r="E421" t="s">
        <v>16</v>
      </c>
      <c r="F421" t="s">
        <v>16</v>
      </c>
      <c r="G421">
        <v>1</v>
      </c>
      <c r="H421" t="s">
        <v>557</v>
      </c>
      <c r="I421" t="s">
        <v>558</v>
      </c>
      <c r="J421" t="s">
        <v>559</v>
      </c>
      <c r="K421" t="s">
        <v>57</v>
      </c>
      <c r="L421">
        <v>1</v>
      </c>
      <c r="M421" s="5">
        <v>589016</v>
      </c>
      <c r="N421" s="5">
        <f>+M421*1.3</f>
        <v>765720.8</v>
      </c>
      <c r="O421" s="2">
        <f>+N421-M421</f>
        <v>176704.80000000005</v>
      </c>
    </row>
    <row r="422" spans="1:15" x14ac:dyDescent="0.2">
      <c r="A422" t="s">
        <v>35</v>
      </c>
      <c r="B422">
        <v>1</v>
      </c>
      <c r="C422" t="s">
        <v>14</v>
      </c>
      <c r="D422" t="s">
        <v>556</v>
      </c>
      <c r="E422" t="s">
        <v>16</v>
      </c>
      <c r="F422" t="s">
        <v>16</v>
      </c>
      <c r="G422">
        <v>1</v>
      </c>
      <c r="H422" t="s">
        <v>557</v>
      </c>
      <c r="I422" t="s">
        <v>558</v>
      </c>
      <c r="J422" t="s">
        <v>559</v>
      </c>
      <c r="K422" t="s">
        <v>57</v>
      </c>
      <c r="L422">
        <v>1</v>
      </c>
      <c r="M422" s="5">
        <v>589016</v>
      </c>
      <c r="N422" s="5">
        <f>+M422*1.3</f>
        <v>765720.8</v>
      </c>
      <c r="O422" s="2">
        <f>+N422-M422</f>
        <v>176704.80000000005</v>
      </c>
    </row>
    <row r="423" spans="1:15" x14ac:dyDescent="0.2">
      <c r="A423" t="s">
        <v>28</v>
      </c>
      <c r="B423">
        <v>1</v>
      </c>
      <c r="C423" t="s">
        <v>14</v>
      </c>
      <c r="D423" t="s">
        <v>556</v>
      </c>
      <c r="E423" t="s">
        <v>16</v>
      </c>
      <c r="F423" t="s">
        <v>16</v>
      </c>
      <c r="G423">
        <v>1</v>
      </c>
      <c r="H423" t="s">
        <v>557</v>
      </c>
      <c r="I423" t="s">
        <v>558</v>
      </c>
      <c r="J423" t="s">
        <v>559</v>
      </c>
      <c r="K423" t="s">
        <v>57</v>
      </c>
      <c r="L423">
        <v>1</v>
      </c>
      <c r="M423" s="5">
        <v>589016</v>
      </c>
      <c r="N423" s="5">
        <f>+M423*1.3</f>
        <v>765720.8</v>
      </c>
      <c r="O423" s="2">
        <f>+N423-M423</f>
        <v>176704.80000000005</v>
      </c>
    </row>
    <row r="424" spans="1:15" x14ac:dyDescent="0.2">
      <c r="A424" t="s">
        <v>88</v>
      </c>
      <c r="B424">
        <v>1</v>
      </c>
      <c r="C424" t="s">
        <v>14</v>
      </c>
      <c r="D424" t="s">
        <v>89</v>
      </c>
      <c r="E424" t="s">
        <v>16</v>
      </c>
      <c r="F424" t="s">
        <v>16</v>
      </c>
      <c r="G424">
        <v>42</v>
      </c>
      <c r="H424" t="s">
        <v>560</v>
      </c>
      <c r="I424" t="s">
        <v>561</v>
      </c>
      <c r="J424" t="s">
        <v>32</v>
      </c>
      <c r="K424" t="s">
        <v>27</v>
      </c>
      <c r="L424">
        <v>1</v>
      </c>
      <c r="M424" s="5">
        <v>27598</v>
      </c>
      <c r="N424" s="5">
        <f>+M424*1.3</f>
        <v>35877.4</v>
      </c>
      <c r="O424" s="2">
        <f>+N424-M424</f>
        <v>8279.4000000000015</v>
      </c>
    </row>
    <row r="425" spans="1:15" x14ac:dyDescent="0.2">
      <c r="A425" t="s">
        <v>88</v>
      </c>
      <c r="B425">
        <v>1</v>
      </c>
      <c r="C425" t="s">
        <v>14</v>
      </c>
      <c r="D425" t="s">
        <v>89</v>
      </c>
      <c r="E425" t="s">
        <v>16</v>
      </c>
      <c r="F425" t="s">
        <v>16</v>
      </c>
      <c r="G425">
        <v>79</v>
      </c>
      <c r="H425" t="s">
        <v>562</v>
      </c>
      <c r="I425" t="s">
        <v>563</v>
      </c>
      <c r="J425" t="s">
        <v>138</v>
      </c>
      <c r="K425" t="s">
        <v>40</v>
      </c>
      <c r="L425">
        <v>12</v>
      </c>
      <c r="M425" s="5">
        <v>41459</v>
      </c>
      <c r="N425" s="5">
        <f>+M425*1.3</f>
        <v>53896.700000000004</v>
      </c>
      <c r="O425" s="2">
        <f>+N425-M425</f>
        <v>12437.700000000004</v>
      </c>
    </row>
    <row r="426" spans="1:15" x14ac:dyDescent="0.2">
      <c r="A426" t="s">
        <v>13</v>
      </c>
      <c r="B426">
        <v>2</v>
      </c>
      <c r="C426" t="s">
        <v>14</v>
      </c>
      <c r="D426" t="s">
        <v>15</v>
      </c>
      <c r="E426" t="s">
        <v>16</v>
      </c>
      <c r="F426" t="s">
        <v>16</v>
      </c>
      <c r="G426">
        <v>3</v>
      </c>
      <c r="H426" t="s">
        <v>564</v>
      </c>
      <c r="I426" t="s">
        <v>565</v>
      </c>
      <c r="J426" t="s">
        <v>66</v>
      </c>
      <c r="K426" t="s">
        <v>27</v>
      </c>
      <c r="L426">
        <v>4</v>
      </c>
      <c r="M426" s="5">
        <v>51070</v>
      </c>
      <c r="N426" s="5">
        <f>+M426*1.3</f>
        <v>66391</v>
      </c>
      <c r="O426" s="2">
        <f>+N426-M426</f>
        <v>15321</v>
      </c>
    </row>
    <row r="427" spans="1:15" x14ac:dyDescent="0.2">
      <c r="A427" t="s">
        <v>21</v>
      </c>
      <c r="B427">
        <v>1</v>
      </c>
      <c r="C427" t="s">
        <v>14</v>
      </c>
      <c r="D427" t="s">
        <v>15</v>
      </c>
      <c r="E427" t="s">
        <v>16</v>
      </c>
      <c r="F427" t="s">
        <v>16</v>
      </c>
      <c r="G427">
        <v>3</v>
      </c>
      <c r="H427" t="s">
        <v>564</v>
      </c>
      <c r="I427" t="s">
        <v>565</v>
      </c>
      <c r="J427" t="s">
        <v>66</v>
      </c>
      <c r="K427" t="s">
        <v>27</v>
      </c>
      <c r="L427">
        <v>4</v>
      </c>
      <c r="M427" s="5">
        <v>51070</v>
      </c>
      <c r="N427" s="5">
        <f>+M427*1.3</f>
        <v>66391</v>
      </c>
      <c r="O427" s="2">
        <f>+N427-M427</f>
        <v>15321</v>
      </c>
    </row>
    <row r="428" spans="1:15" x14ac:dyDescent="0.2">
      <c r="A428" t="s">
        <v>13</v>
      </c>
      <c r="B428">
        <v>2</v>
      </c>
      <c r="C428" t="s">
        <v>14</v>
      </c>
      <c r="D428" t="s">
        <v>15</v>
      </c>
      <c r="E428" t="s">
        <v>16</v>
      </c>
      <c r="F428" t="s">
        <v>16</v>
      </c>
      <c r="G428">
        <v>7</v>
      </c>
      <c r="H428" t="s">
        <v>566</v>
      </c>
      <c r="I428" t="s">
        <v>567</v>
      </c>
      <c r="J428" t="s">
        <v>19</v>
      </c>
      <c r="K428" t="s">
        <v>27</v>
      </c>
      <c r="L428">
        <v>1</v>
      </c>
      <c r="M428" s="5">
        <v>16954</v>
      </c>
      <c r="N428" s="5">
        <f>+M428*1.3</f>
        <v>22040.2</v>
      </c>
      <c r="O428" s="2">
        <f>+N428-M428</f>
        <v>5086.2000000000007</v>
      </c>
    </row>
    <row r="429" spans="1:15" x14ac:dyDescent="0.2">
      <c r="A429" t="s">
        <v>21</v>
      </c>
      <c r="B429">
        <v>1</v>
      </c>
      <c r="C429" t="s">
        <v>14</v>
      </c>
      <c r="D429" t="s">
        <v>15</v>
      </c>
      <c r="E429" t="s">
        <v>16</v>
      </c>
      <c r="F429" t="s">
        <v>16</v>
      </c>
      <c r="G429">
        <v>7</v>
      </c>
      <c r="H429" t="s">
        <v>566</v>
      </c>
      <c r="I429" t="s">
        <v>567</v>
      </c>
      <c r="J429" t="s">
        <v>19</v>
      </c>
      <c r="K429" t="s">
        <v>27</v>
      </c>
      <c r="L429">
        <v>1</v>
      </c>
      <c r="M429" s="5">
        <v>16954</v>
      </c>
      <c r="N429" s="5">
        <f>+M429*1.3</f>
        <v>22040.2</v>
      </c>
      <c r="O429" s="2">
        <f>+N429-M429</f>
        <v>5086.2000000000007</v>
      </c>
    </row>
    <row r="430" spans="1:15" x14ac:dyDescent="0.2">
      <c r="A430" t="s">
        <v>13</v>
      </c>
      <c r="B430">
        <v>1</v>
      </c>
      <c r="C430" t="s">
        <v>14</v>
      </c>
      <c r="D430" t="s">
        <v>15</v>
      </c>
      <c r="E430" t="s">
        <v>16</v>
      </c>
      <c r="F430" t="s">
        <v>16</v>
      </c>
      <c r="G430">
        <v>4</v>
      </c>
      <c r="H430" t="s">
        <v>568</v>
      </c>
      <c r="I430" t="s">
        <v>569</v>
      </c>
      <c r="J430" t="s">
        <v>39</v>
      </c>
      <c r="K430" t="s">
        <v>40</v>
      </c>
      <c r="L430">
        <v>1</v>
      </c>
      <c r="M430" s="5">
        <v>3462</v>
      </c>
      <c r="N430" s="5">
        <f>+M430*1.3</f>
        <v>4500.6000000000004</v>
      </c>
      <c r="O430" s="2">
        <f>+N430-M430</f>
        <v>1038.6000000000004</v>
      </c>
    </row>
    <row r="431" spans="1:15" x14ac:dyDescent="0.2">
      <c r="A431" t="s">
        <v>21</v>
      </c>
      <c r="B431">
        <v>1</v>
      </c>
      <c r="C431" t="s">
        <v>14</v>
      </c>
      <c r="D431" t="s">
        <v>15</v>
      </c>
      <c r="E431" t="s">
        <v>16</v>
      </c>
      <c r="F431" t="s">
        <v>16</v>
      </c>
      <c r="G431">
        <v>4</v>
      </c>
      <c r="H431" t="s">
        <v>568</v>
      </c>
      <c r="I431" t="s">
        <v>569</v>
      </c>
      <c r="J431" t="s">
        <v>39</v>
      </c>
      <c r="K431" t="s">
        <v>40</v>
      </c>
      <c r="L431">
        <v>1</v>
      </c>
      <c r="M431" s="5">
        <v>3462</v>
      </c>
      <c r="N431" s="5">
        <f>+M431*1.3</f>
        <v>4500.6000000000004</v>
      </c>
      <c r="O431" s="2">
        <f>+N431-M431</f>
        <v>1038.6000000000004</v>
      </c>
    </row>
    <row r="432" spans="1:15" x14ac:dyDescent="0.2">
      <c r="A432" t="s">
        <v>88</v>
      </c>
      <c r="B432">
        <v>1</v>
      </c>
      <c r="C432" t="s">
        <v>14</v>
      </c>
      <c r="D432" t="s">
        <v>89</v>
      </c>
      <c r="E432" t="s">
        <v>16</v>
      </c>
      <c r="F432" t="s">
        <v>16</v>
      </c>
      <c r="G432">
        <v>67</v>
      </c>
      <c r="H432" t="s">
        <v>570</v>
      </c>
      <c r="I432" t="s">
        <v>571</v>
      </c>
      <c r="J432" t="s">
        <v>39</v>
      </c>
      <c r="K432" t="s">
        <v>40</v>
      </c>
      <c r="L432">
        <v>1</v>
      </c>
      <c r="M432" s="5">
        <v>2802</v>
      </c>
      <c r="N432" s="5">
        <f>+M432*1.3</f>
        <v>3642.6</v>
      </c>
      <c r="O432" s="2">
        <f>+N432-M432</f>
        <v>840.59999999999991</v>
      </c>
    </row>
    <row r="433" spans="1:15" x14ac:dyDescent="0.2">
      <c r="A433" t="s">
        <v>88</v>
      </c>
      <c r="B433">
        <v>1</v>
      </c>
      <c r="C433" t="s">
        <v>14</v>
      </c>
      <c r="D433" t="s">
        <v>89</v>
      </c>
      <c r="E433" t="s">
        <v>16</v>
      </c>
      <c r="F433" t="s">
        <v>16</v>
      </c>
      <c r="G433">
        <v>35</v>
      </c>
      <c r="H433" t="s">
        <v>572</v>
      </c>
      <c r="I433" t="s">
        <v>573</v>
      </c>
      <c r="J433" t="s">
        <v>19</v>
      </c>
      <c r="K433" t="s">
        <v>27</v>
      </c>
      <c r="L433">
        <v>1</v>
      </c>
      <c r="M433" s="5">
        <v>12667</v>
      </c>
      <c r="N433" s="5">
        <f>+M433*1.3</f>
        <v>16467.100000000002</v>
      </c>
      <c r="O433" s="2">
        <f>+N433-M433</f>
        <v>3800.1000000000022</v>
      </c>
    </row>
    <row r="434" spans="1:15" x14ac:dyDescent="0.2">
      <c r="A434" t="s">
        <v>13</v>
      </c>
      <c r="B434">
        <v>2</v>
      </c>
      <c r="C434" t="s">
        <v>14</v>
      </c>
      <c r="D434" t="s">
        <v>15</v>
      </c>
      <c r="E434" t="s">
        <v>16</v>
      </c>
      <c r="F434" t="s">
        <v>16</v>
      </c>
      <c r="G434">
        <v>4</v>
      </c>
      <c r="H434" t="s">
        <v>574</v>
      </c>
      <c r="I434" t="s">
        <v>575</v>
      </c>
      <c r="J434" t="s">
        <v>66</v>
      </c>
      <c r="K434" t="s">
        <v>27</v>
      </c>
      <c r="L434">
        <v>1</v>
      </c>
      <c r="M434" s="5">
        <v>13278</v>
      </c>
      <c r="N434" s="5">
        <f>+M434*1.3</f>
        <v>17261.400000000001</v>
      </c>
      <c r="O434" s="2">
        <f>+N434-M434</f>
        <v>3983.4000000000015</v>
      </c>
    </row>
    <row r="435" spans="1:15" x14ac:dyDescent="0.2">
      <c r="A435" t="s">
        <v>21</v>
      </c>
      <c r="B435">
        <v>1</v>
      </c>
      <c r="C435" t="s">
        <v>14</v>
      </c>
      <c r="D435" t="s">
        <v>15</v>
      </c>
      <c r="E435" t="s">
        <v>16</v>
      </c>
      <c r="F435" t="s">
        <v>16</v>
      </c>
      <c r="G435">
        <v>4</v>
      </c>
      <c r="H435" t="s">
        <v>574</v>
      </c>
      <c r="I435" t="s">
        <v>575</v>
      </c>
      <c r="J435" t="s">
        <v>66</v>
      </c>
      <c r="K435" t="s">
        <v>27</v>
      </c>
      <c r="L435">
        <v>1</v>
      </c>
      <c r="M435" s="5">
        <v>13278</v>
      </c>
      <c r="N435" s="5">
        <f>+M435*1.3</f>
        <v>17261.400000000001</v>
      </c>
      <c r="O435" s="2">
        <f>+N435-M435</f>
        <v>3983.4000000000015</v>
      </c>
    </row>
    <row r="436" spans="1:15" x14ac:dyDescent="0.2">
      <c r="A436" t="s">
        <v>88</v>
      </c>
      <c r="B436">
        <v>1</v>
      </c>
      <c r="C436" t="s">
        <v>14</v>
      </c>
      <c r="D436" t="s">
        <v>89</v>
      </c>
      <c r="E436" t="s">
        <v>16</v>
      </c>
      <c r="F436" t="s">
        <v>16</v>
      </c>
      <c r="G436">
        <v>23</v>
      </c>
      <c r="H436" t="s">
        <v>576</v>
      </c>
      <c r="I436" t="s">
        <v>577</v>
      </c>
      <c r="J436" t="s">
        <v>32</v>
      </c>
      <c r="K436" t="s">
        <v>27</v>
      </c>
      <c r="L436">
        <v>1</v>
      </c>
      <c r="M436" s="5">
        <v>10202</v>
      </c>
      <c r="N436" s="5">
        <f>+M436*1.3</f>
        <v>13262.6</v>
      </c>
      <c r="O436" s="2">
        <f>+N436-M436</f>
        <v>3060.6000000000004</v>
      </c>
    </row>
    <row r="437" spans="1:15" x14ac:dyDescent="0.2">
      <c r="A437" t="s">
        <v>88</v>
      </c>
      <c r="B437">
        <v>1</v>
      </c>
      <c r="C437" t="s">
        <v>14</v>
      </c>
      <c r="D437" t="s">
        <v>89</v>
      </c>
      <c r="E437" t="s">
        <v>16</v>
      </c>
      <c r="F437" t="s">
        <v>16</v>
      </c>
      <c r="G437">
        <v>32</v>
      </c>
      <c r="H437" t="s">
        <v>578</v>
      </c>
      <c r="I437" t="s">
        <v>579</v>
      </c>
      <c r="J437" t="s">
        <v>66</v>
      </c>
      <c r="K437" t="s">
        <v>27</v>
      </c>
      <c r="L437">
        <v>4</v>
      </c>
      <c r="M437" s="5">
        <v>49182</v>
      </c>
      <c r="N437" s="5">
        <f>+M437*1.3</f>
        <v>63936.600000000006</v>
      </c>
      <c r="O437" s="2">
        <f>+N437-M437</f>
        <v>14754.600000000006</v>
      </c>
    </row>
    <row r="438" spans="1:15" x14ac:dyDescent="0.2">
      <c r="A438" t="s">
        <v>88</v>
      </c>
      <c r="B438">
        <v>1</v>
      </c>
      <c r="C438" t="s">
        <v>14</v>
      </c>
      <c r="D438" t="s">
        <v>89</v>
      </c>
      <c r="E438" t="s">
        <v>16</v>
      </c>
      <c r="F438" t="s">
        <v>16</v>
      </c>
      <c r="G438">
        <v>89</v>
      </c>
      <c r="H438" t="s">
        <v>580</v>
      </c>
      <c r="I438" t="s">
        <v>581</v>
      </c>
      <c r="J438" t="s">
        <v>39</v>
      </c>
      <c r="K438" t="s">
        <v>40</v>
      </c>
      <c r="L438">
        <v>1</v>
      </c>
      <c r="M438" s="5">
        <v>3864</v>
      </c>
      <c r="N438" s="5">
        <f>+M438*1.3</f>
        <v>5023.2</v>
      </c>
      <c r="O438" s="2">
        <f>+N438-M438</f>
        <v>1159.1999999999998</v>
      </c>
    </row>
    <row r="439" spans="1:15" x14ac:dyDescent="0.2">
      <c r="A439" t="s">
        <v>88</v>
      </c>
      <c r="B439">
        <v>1</v>
      </c>
      <c r="C439" t="s">
        <v>14</v>
      </c>
      <c r="D439" t="s">
        <v>89</v>
      </c>
      <c r="E439" t="s">
        <v>16</v>
      </c>
      <c r="F439" t="s">
        <v>16</v>
      </c>
      <c r="G439">
        <v>77</v>
      </c>
      <c r="H439" t="s">
        <v>582</v>
      </c>
      <c r="I439" t="s">
        <v>583</v>
      </c>
      <c r="J439" t="s">
        <v>39</v>
      </c>
      <c r="K439" t="s">
        <v>40</v>
      </c>
      <c r="L439">
        <v>1</v>
      </c>
      <c r="M439" s="5">
        <v>3414</v>
      </c>
      <c r="N439" s="5">
        <f>+M439*1.3</f>
        <v>4438.2</v>
      </c>
      <c r="O439" s="2">
        <f>+N439-M439</f>
        <v>1024.1999999999998</v>
      </c>
    </row>
    <row r="440" spans="1:15" x14ac:dyDescent="0.2">
      <c r="A440" t="s">
        <v>13</v>
      </c>
      <c r="B440">
        <v>2</v>
      </c>
      <c r="C440" t="s">
        <v>14</v>
      </c>
      <c r="D440" t="s">
        <v>15</v>
      </c>
      <c r="E440" t="s">
        <v>16</v>
      </c>
      <c r="F440" t="s">
        <v>16</v>
      </c>
      <c r="G440">
        <v>5</v>
      </c>
      <c r="H440" t="s">
        <v>584</v>
      </c>
      <c r="I440" t="s">
        <v>585</v>
      </c>
      <c r="J440" t="s">
        <v>32</v>
      </c>
      <c r="K440" t="s">
        <v>27</v>
      </c>
      <c r="L440">
        <v>4</v>
      </c>
      <c r="M440" s="5">
        <v>53116</v>
      </c>
      <c r="N440" s="5">
        <f>+M440*1.3</f>
        <v>69050.8</v>
      </c>
      <c r="O440" s="2">
        <f>+N440-M440</f>
        <v>15934.800000000003</v>
      </c>
    </row>
    <row r="441" spans="1:15" x14ac:dyDescent="0.2">
      <c r="A441" t="s">
        <v>21</v>
      </c>
      <c r="B441">
        <v>1</v>
      </c>
      <c r="C441" t="s">
        <v>14</v>
      </c>
      <c r="D441" t="s">
        <v>15</v>
      </c>
      <c r="E441" t="s">
        <v>16</v>
      </c>
      <c r="F441" t="s">
        <v>16</v>
      </c>
      <c r="G441">
        <v>5</v>
      </c>
      <c r="H441" t="s">
        <v>584</v>
      </c>
      <c r="I441" t="s">
        <v>585</v>
      </c>
      <c r="J441" t="s">
        <v>32</v>
      </c>
      <c r="K441" t="s">
        <v>27</v>
      </c>
      <c r="L441">
        <v>4</v>
      </c>
      <c r="M441" s="5">
        <v>53116</v>
      </c>
      <c r="N441" s="5">
        <f>+M441*1.3</f>
        <v>69050.8</v>
      </c>
      <c r="O441" s="2">
        <f>+N441-M441</f>
        <v>15934.800000000003</v>
      </c>
    </row>
    <row r="442" spans="1:15" x14ac:dyDescent="0.2">
      <c r="A442" t="s">
        <v>13</v>
      </c>
      <c r="B442">
        <v>2</v>
      </c>
      <c r="C442" t="s">
        <v>14</v>
      </c>
      <c r="D442" t="s">
        <v>29</v>
      </c>
      <c r="E442" t="s">
        <v>16</v>
      </c>
      <c r="F442" t="s">
        <v>16</v>
      </c>
      <c r="G442">
        <v>1</v>
      </c>
      <c r="H442" t="s">
        <v>586</v>
      </c>
      <c r="I442" t="s">
        <v>587</v>
      </c>
      <c r="J442" t="s">
        <v>63</v>
      </c>
      <c r="K442" t="s">
        <v>27</v>
      </c>
      <c r="L442">
        <v>1</v>
      </c>
      <c r="M442" s="5">
        <v>9706</v>
      </c>
      <c r="N442" s="5">
        <f>+M442*1.3</f>
        <v>12617.800000000001</v>
      </c>
      <c r="O442" s="2">
        <f>+N442-M442</f>
        <v>2911.8000000000011</v>
      </c>
    </row>
    <row r="443" spans="1:15" x14ac:dyDescent="0.2">
      <c r="A443" t="s">
        <v>21</v>
      </c>
      <c r="B443">
        <v>1</v>
      </c>
      <c r="C443" t="s">
        <v>14</v>
      </c>
      <c r="D443" t="s">
        <v>29</v>
      </c>
      <c r="E443" t="s">
        <v>16</v>
      </c>
      <c r="F443" t="s">
        <v>16</v>
      </c>
      <c r="G443">
        <v>1</v>
      </c>
      <c r="H443" t="s">
        <v>586</v>
      </c>
      <c r="I443" t="s">
        <v>587</v>
      </c>
      <c r="J443" t="s">
        <v>63</v>
      </c>
      <c r="K443" t="s">
        <v>27</v>
      </c>
      <c r="L443">
        <v>1</v>
      </c>
      <c r="M443" s="5">
        <v>9706</v>
      </c>
      <c r="N443" s="5">
        <f>+M443*1.3</f>
        <v>12617.800000000001</v>
      </c>
      <c r="O443" s="2">
        <f>+N443-M443</f>
        <v>2911.8000000000011</v>
      </c>
    </row>
    <row r="444" spans="1:15" x14ac:dyDescent="0.2">
      <c r="A444" t="s">
        <v>13</v>
      </c>
      <c r="B444">
        <v>1</v>
      </c>
      <c r="C444" t="s">
        <v>14</v>
      </c>
      <c r="D444" t="s">
        <v>29</v>
      </c>
      <c r="E444" t="s">
        <v>16</v>
      </c>
      <c r="F444" t="s">
        <v>16</v>
      </c>
      <c r="G444">
        <v>3</v>
      </c>
      <c r="H444" t="s">
        <v>588</v>
      </c>
      <c r="I444" t="s">
        <v>589</v>
      </c>
      <c r="J444" t="s">
        <v>135</v>
      </c>
      <c r="K444" t="s">
        <v>40</v>
      </c>
      <c r="L444">
        <v>1</v>
      </c>
      <c r="M444" s="5">
        <v>3221</v>
      </c>
      <c r="N444" s="5">
        <f>+M444*1.3</f>
        <v>4187.3</v>
      </c>
      <c r="O444" s="2">
        <f>+N444-M444</f>
        <v>966.30000000000018</v>
      </c>
    </row>
    <row r="445" spans="1:15" x14ac:dyDescent="0.2">
      <c r="A445" t="s">
        <v>21</v>
      </c>
      <c r="B445">
        <v>1</v>
      </c>
      <c r="C445" t="s">
        <v>14</v>
      </c>
      <c r="D445" t="s">
        <v>29</v>
      </c>
      <c r="E445" t="s">
        <v>16</v>
      </c>
      <c r="F445" t="s">
        <v>16</v>
      </c>
      <c r="G445">
        <v>3</v>
      </c>
      <c r="H445" t="s">
        <v>588</v>
      </c>
      <c r="I445" t="s">
        <v>589</v>
      </c>
      <c r="J445" t="s">
        <v>135</v>
      </c>
      <c r="K445" t="s">
        <v>40</v>
      </c>
      <c r="L445">
        <v>1</v>
      </c>
      <c r="M445" s="5">
        <v>3221</v>
      </c>
      <c r="N445" s="5">
        <f>+M445*1.3</f>
        <v>4187.3</v>
      </c>
      <c r="O445" s="2">
        <f>+N445-M445</f>
        <v>966.30000000000018</v>
      </c>
    </row>
    <row r="446" spans="1:15" x14ac:dyDescent="0.2">
      <c r="A446" t="s">
        <v>88</v>
      </c>
      <c r="B446">
        <v>3</v>
      </c>
      <c r="C446" t="s">
        <v>14</v>
      </c>
      <c r="D446" t="s">
        <v>89</v>
      </c>
      <c r="E446" t="s">
        <v>16</v>
      </c>
      <c r="F446" t="s">
        <v>16</v>
      </c>
      <c r="G446">
        <v>13</v>
      </c>
      <c r="H446" t="s">
        <v>590</v>
      </c>
      <c r="I446" t="s">
        <v>591</v>
      </c>
      <c r="J446" t="s">
        <v>123</v>
      </c>
      <c r="K446" t="s">
        <v>57</v>
      </c>
      <c r="L446">
        <v>1</v>
      </c>
      <c r="M446" s="5">
        <v>504910</v>
      </c>
      <c r="N446" s="5">
        <f>+M446*1.3</f>
        <v>656383</v>
      </c>
      <c r="O446" s="2">
        <f>+N446-M446</f>
        <v>151473</v>
      </c>
    </row>
    <row r="447" spans="1:15" x14ac:dyDescent="0.2">
      <c r="A447" t="s">
        <v>88</v>
      </c>
      <c r="B447">
        <v>1</v>
      </c>
      <c r="C447" t="s">
        <v>14</v>
      </c>
      <c r="D447" t="s">
        <v>89</v>
      </c>
      <c r="E447" t="s">
        <v>16</v>
      </c>
      <c r="F447" t="s">
        <v>16</v>
      </c>
      <c r="G447">
        <v>23</v>
      </c>
      <c r="H447" t="s">
        <v>592</v>
      </c>
      <c r="I447" t="s">
        <v>593</v>
      </c>
      <c r="J447" t="s">
        <v>32</v>
      </c>
      <c r="K447" t="s">
        <v>27</v>
      </c>
      <c r="L447">
        <v>4</v>
      </c>
      <c r="M447" s="5">
        <v>40806</v>
      </c>
      <c r="N447" s="5">
        <f>+M447*1.3</f>
        <v>53047.8</v>
      </c>
      <c r="O447" s="2">
        <f>+N447-M447</f>
        <v>12241.800000000003</v>
      </c>
    </row>
    <row r="448" spans="1:15" x14ac:dyDescent="0.2">
      <c r="A448" t="s">
        <v>88</v>
      </c>
      <c r="B448">
        <v>1</v>
      </c>
      <c r="C448" t="s">
        <v>14</v>
      </c>
      <c r="D448" t="s">
        <v>89</v>
      </c>
      <c r="E448" t="s">
        <v>16</v>
      </c>
      <c r="F448" t="s">
        <v>16</v>
      </c>
      <c r="G448">
        <v>1</v>
      </c>
      <c r="H448" t="s">
        <v>594</v>
      </c>
      <c r="I448" t="s">
        <v>595</v>
      </c>
      <c r="J448" t="s">
        <v>19</v>
      </c>
      <c r="K448" t="s">
        <v>20</v>
      </c>
      <c r="L448">
        <v>4</v>
      </c>
      <c r="M448" s="5">
        <v>50670</v>
      </c>
      <c r="N448" s="5">
        <f>+M448*1.3</f>
        <v>65871</v>
      </c>
      <c r="O448" s="2">
        <f>+N448-M448</f>
        <v>15201</v>
      </c>
    </row>
    <row r="449" spans="1:15" x14ac:dyDescent="0.2">
      <c r="A449" t="s">
        <v>88</v>
      </c>
      <c r="B449">
        <v>2</v>
      </c>
      <c r="C449" t="s">
        <v>14</v>
      </c>
      <c r="D449" t="s">
        <v>89</v>
      </c>
      <c r="E449" t="s">
        <v>16</v>
      </c>
      <c r="F449" t="s">
        <v>16</v>
      </c>
      <c r="G449">
        <v>10</v>
      </c>
      <c r="H449" t="s">
        <v>596</v>
      </c>
      <c r="I449" t="s">
        <v>597</v>
      </c>
      <c r="J449" t="s">
        <v>70</v>
      </c>
      <c r="K449" t="s">
        <v>50</v>
      </c>
      <c r="L449">
        <v>1</v>
      </c>
      <c r="M449" s="5">
        <v>46196</v>
      </c>
      <c r="N449" s="5">
        <f>+M449*1.3</f>
        <v>60054.8</v>
      </c>
      <c r="O449" s="2">
        <f>+N449-M449</f>
        <v>13858.800000000003</v>
      </c>
    </row>
    <row r="450" spans="1:15" x14ac:dyDescent="0.2">
      <c r="A450" t="s">
        <v>88</v>
      </c>
      <c r="B450">
        <v>3</v>
      </c>
      <c r="C450" t="s">
        <v>14</v>
      </c>
      <c r="D450" t="s">
        <v>89</v>
      </c>
      <c r="E450" t="s">
        <v>16</v>
      </c>
      <c r="F450" t="s">
        <v>16</v>
      </c>
      <c r="G450">
        <v>9</v>
      </c>
      <c r="H450" t="s">
        <v>598</v>
      </c>
      <c r="I450" t="s">
        <v>599</v>
      </c>
      <c r="J450" t="s">
        <v>123</v>
      </c>
      <c r="K450" t="s">
        <v>57</v>
      </c>
      <c r="L450">
        <v>1</v>
      </c>
      <c r="M450" s="5">
        <v>470630</v>
      </c>
      <c r="N450" s="5">
        <f>+M450*1.3</f>
        <v>611819</v>
      </c>
      <c r="O450" s="2">
        <f>+N450-M450</f>
        <v>141189</v>
      </c>
    </row>
    <row r="451" spans="1:15" x14ac:dyDescent="0.2">
      <c r="A451" t="s">
        <v>88</v>
      </c>
      <c r="B451">
        <v>3</v>
      </c>
      <c r="C451" t="s">
        <v>14</v>
      </c>
      <c r="D451" t="s">
        <v>89</v>
      </c>
      <c r="E451" t="s">
        <v>16</v>
      </c>
      <c r="F451" t="s">
        <v>16</v>
      </c>
      <c r="G451">
        <v>16</v>
      </c>
      <c r="H451" t="s">
        <v>600</v>
      </c>
      <c r="I451" t="s">
        <v>601</v>
      </c>
      <c r="J451" t="s">
        <v>123</v>
      </c>
      <c r="K451" t="s">
        <v>57</v>
      </c>
      <c r="L451">
        <v>1</v>
      </c>
      <c r="M451" s="5">
        <v>526830</v>
      </c>
      <c r="N451" s="5">
        <f>+M451*1.3</f>
        <v>684879</v>
      </c>
      <c r="O451" s="2">
        <f>+N451-M451</f>
        <v>158049</v>
      </c>
    </row>
    <row r="452" spans="1:15" x14ac:dyDescent="0.2">
      <c r="A452" t="s">
        <v>88</v>
      </c>
      <c r="B452">
        <v>1</v>
      </c>
      <c r="C452" t="s">
        <v>14</v>
      </c>
      <c r="D452" t="s">
        <v>89</v>
      </c>
      <c r="E452" t="s">
        <v>16</v>
      </c>
      <c r="F452" t="s">
        <v>16</v>
      </c>
      <c r="G452">
        <v>41</v>
      </c>
      <c r="H452" t="s">
        <v>602</v>
      </c>
      <c r="I452" t="s">
        <v>603</v>
      </c>
      <c r="J452" t="s">
        <v>19</v>
      </c>
      <c r="K452" t="s">
        <v>27</v>
      </c>
      <c r="L452">
        <v>1</v>
      </c>
      <c r="M452" s="5">
        <v>26204</v>
      </c>
      <c r="N452" s="5">
        <f>+M452*1.3</f>
        <v>34065.200000000004</v>
      </c>
      <c r="O452" s="2">
        <f>+N452-M452</f>
        <v>7861.2000000000044</v>
      </c>
    </row>
    <row r="453" spans="1:15" x14ac:dyDescent="0.2">
      <c r="A453" t="s">
        <v>88</v>
      </c>
      <c r="B453">
        <v>1</v>
      </c>
      <c r="C453" t="s">
        <v>14</v>
      </c>
      <c r="D453" t="s">
        <v>89</v>
      </c>
      <c r="E453" t="s">
        <v>16</v>
      </c>
      <c r="F453" t="s">
        <v>16</v>
      </c>
      <c r="G453">
        <v>100</v>
      </c>
      <c r="H453" t="s">
        <v>604</v>
      </c>
      <c r="I453" t="s">
        <v>605</v>
      </c>
      <c r="J453" t="s">
        <v>39</v>
      </c>
      <c r="K453" t="s">
        <v>40</v>
      </c>
      <c r="L453">
        <v>1</v>
      </c>
      <c r="M453" s="5">
        <v>6333</v>
      </c>
      <c r="N453" s="5">
        <f>+M453*1.3</f>
        <v>8232.9</v>
      </c>
      <c r="O453" s="2">
        <f>+N453-M453</f>
        <v>1899.8999999999996</v>
      </c>
    </row>
    <row r="454" spans="1:15" x14ac:dyDescent="0.2">
      <c r="A454" t="s">
        <v>88</v>
      </c>
      <c r="B454">
        <v>3</v>
      </c>
      <c r="C454" t="s">
        <v>14</v>
      </c>
      <c r="D454" t="s">
        <v>89</v>
      </c>
      <c r="E454" t="s">
        <v>16</v>
      </c>
      <c r="F454" t="s">
        <v>16</v>
      </c>
      <c r="G454">
        <v>7</v>
      </c>
      <c r="H454" t="s">
        <v>606</v>
      </c>
      <c r="I454" t="s">
        <v>607</v>
      </c>
      <c r="J454" t="s">
        <v>123</v>
      </c>
      <c r="K454" t="s">
        <v>57</v>
      </c>
      <c r="L454">
        <v>1</v>
      </c>
      <c r="M454" s="5">
        <v>430746</v>
      </c>
      <c r="N454" s="5">
        <f>+M454*1.3</f>
        <v>559969.80000000005</v>
      </c>
      <c r="O454" s="2">
        <f>+N454-M454</f>
        <v>129223.80000000005</v>
      </c>
    </row>
    <row r="455" spans="1:15" x14ac:dyDescent="0.2">
      <c r="A455" t="s">
        <v>28</v>
      </c>
      <c r="B455">
        <v>3</v>
      </c>
      <c r="C455" t="s">
        <v>126</v>
      </c>
      <c r="D455" t="s">
        <v>130</v>
      </c>
      <c r="E455" t="s">
        <v>16</v>
      </c>
      <c r="F455" t="s">
        <v>16</v>
      </c>
      <c r="G455">
        <v>7</v>
      </c>
      <c r="H455" t="s">
        <v>608</v>
      </c>
      <c r="I455" t="s">
        <v>609</v>
      </c>
      <c r="J455" t="s">
        <v>271</v>
      </c>
      <c r="K455" t="s">
        <v>181</v>
      </c>
      <c r="L455">
        <v>1</v>
      </c>
      <c r="M455" s="5">
        <v>1926</v>
      </c>
      <c r="N455" s="5">
        <f>+M455*1.3</f>
        <v>2503.8000000000002</v>
      </c>
      <c r="O455" s="2">
        <f>+N455-M455</f>
        <v>577.80000000000018</v>
      </c>
    </row>
    <row r="456" spans="1:15" x14ac:dyDescent="0.2">
      <c r="A456" t="s">
        <v>41</v>
      </c>
      <c r="B456">
        <v>3</v>
      </c>
      <c r="C456" t="s">
        <v>126</v>
      </c>
      <c r="D456" t="s">
        <v>610</v>
      </c>
      <c r="E456" t="s">
        <v>16</v>
      </c>
      <c r="F456" t="s">
        <v>16</v>
      </c>
      <c r="G456">
        <v>2</v>
      </c>
      <c r="H456" t="s">
        <v>611</v>
      </c>
      <c r="I456" t="s">
        <v>612</v>
      </c>
      <c r="J456" t="s">
        <v>271</v>
      </c>
      <c r="K456" t="s">
        <v>181</v>
      </c>
      <c r="L456">
        <v>1</v>
      </c>
      <c r="M456" s="5">
        <v>1768</v>
      </c>
      <c r="N456" s="5">
        <f>+M456*1.3</f>
        <v>2298.4</v>
      </c>
      <c r="O456" s="2">
        <f>+N456-M456</f>
        <v>530.40000000000009</v>
      </c>
    </row>
    <row r="457" spans="1:15" x14ac:dyDescent="0.2">
      <c r="A457" t="s">
        <v>13</v>
      </c>
      <c r="B457">
        <v>1</v>
      </c>
      <c r="C457" t="s">
        <v>126</v>
      </c>
      <c r="D457" t="s">
        <v>127</v>
      </c>
      <c r="E457" t="s">
        <v>16</v>
      </c>
      <c r="F457" t="s">
        <v>16</v>
      </c>
      <c r="G457">
        <v>3</v>
      </c>
      <c r="H457" t="s">
        <v>613</v>
      </c>
      <c r="I457" t="s">
        <v>614</v>
      </c>
      <c r="J457" t="s">
        <v>271</v>
      </c>
      <c r="K457" t="s">
        <v>181</v>
      </c>
      <c r="L457">
        <v>1</v>
      </c>
      <c r="M457" s="5">
        <v>1766</v>
      </c>
      <c r="N457" s="5">
        <f>+M457*1.3</f>
        <v>2295.8000000000002</v>
      </c>
      <c r="O457" s="2">
        <f>+N457-M457</f>
        <v>529.80000000000018</v>
      </c>
    </row>
    <row r="458" spans="1:15" x14ac:dyDescent="0.2">
      <c r="A458" t="s">
        <v>21</v>
      </c>
      <c r="B458">
        <v>1</v>
      </c>
      <c r="C458" t="s">
        <v>126</v>
      </c>
      <c r="D458" t="s">
        <v>127</v>
      </c>
      <c r="E458" t="s">
        <v>16</v>
      </c>
      <c r="F458" t="s">
        <v>16</v>
      </c>
      <c r="G458">
        <v>3</v>
      </c>
      <c r="H458" t="s">
        <v>613</v>
      </c>
      <c r="I458" t="s">
        <v>614</v>
      </c>
      <c r="J458" t="s">
        <v>271</v>
      </c>
      <c r="K458" t="s">
        <v>181</v>
      </c>
      <c r="L458">
        <v>1</v>
      </c>
      <c r="M458" s="5">
        <v>1766</v>
      </c>
      <c r="N458" s="5">
        <f>+M458*1.3</f>
        <v>2295.8000000000002</v>
      </c>
      <c r="O458" s="2">
        <f>+N458-M458</f>
        <v>529.80000000000018</v>
      </c>
    </row>
    <row r="459" spans="1:15" x14ac:dyDescent="0.2">
      <c r="A459" t="s">
        <v>28</v>
      </c>
      <c r="B459">
        <v>3</v>
      </c>
      <c r="C459" t="s">
        <v>126</v>
      </c>
      <c r="D459" t="s">
        <v>127</v>
      </c>
      <c r="E459" t="s">
        <v>16</v>
      </c>
      <c r="F459" t="s">
        <v>16</v>
      </c>
      <c r="G459">
        <v>3</v>
      </c>
      <c r="H459" t="s">
        <v>613</v>
      </c>
      <c r="I459" t="s">
        <v>614</v>
      </c>
      <c r="J459" t="s">
        <v>271</v>
      </c>
      <c r="K459" t="s">
        <v>181</v>
      </c>
      <c r="L459">
        <v>1</v>
      </c>
      <c r="M459" s="5">
        <v>1766</v>
      </c>
      <c r="N459" s="5">
        <f>+M459*1.3</f>
        <v>2295.8000000000002</v>
      </c>
      <c r="O459" s="2">
        <f>+N459-M459</f>
        <v>529.80000000000018</v>
      </c>
    </row>
    <row r="460" spans="1:15" x14ac:dyDescent="0.2">
      <c r="A460" t="s">
        <v>28</v>
      </c>
      <c r="B460">
        <v>3</v>
      </c>
      <c r="C460" t="s">
        <v>126</v>
      </c>
      <c r="D460" t="s">
        <v>130</v>
      </c>
      <c r="E460" t="s">
        <v>16</v>
      </c>
      <c r="F460" t="s">
        <v>16</v>
      </c>
      <c r="G460">
        <v>7</v>
      </c>
      <c r="H460" t="s">
        <v>615</v>
      </c>
      <c r="I460" t="s">
        <v>616</v>
      </c>
      <c r="J460" t="s">
        <v>271</v>
      </c>
      <c r="K460" t="s">
        <v>181</v>
      </c>
      <c r="L460">
        <v>1</v>
      </c>
      <c r="M460" s="5">
        <v>1926</v>
      </c>
      <c r="N460" s="5">
        <f>+M460*1.3</f>
        <v>2503.8000000000002</v>
      </c>
      <c r="O460" s="2">
        <f>+N460-M460</f>
        <v>577.80000000000018</v>
      </c>
    </row>
    <row r="461" spans="1:15" x14ac:dyDescent="0.2">
      <c r="A461" t="s">
        <v>88</v>
      </c>
      <c r="B461">
        <v>1</v>
      </c>
      <c r="C461" t="s">
        <v>14</v>
      </c>
      <c r="D461" t="s">
        <v>89</v>
      </c>
      <c r="E461" t="s">
        <v>16</v>
      </c>
      <c r="F461" t="s">
        <v>16</v>
      </c>
      <c r="G461">
        <v>2</v>
      </c>
      <c r="H461" t="s">
        <v>617</v>
      </c>
      <c r="I461" t="s">
        <v>618</v>
      </c>
      <c r="J461" t="s">
        <v>19</v>
      </c>
      <c r="K461" t="s">
        <v>20</v>
      </c>
      <c r="L461">
        <v>4</v>
      </c>
      <c r="M461" s="5">
        <v>104815</v>
      </c>
      <c r="N461" s="5">
        <f>+M461*1.3</f>
        <v>136259.5</v>
      </c>
      <c r="O461" s="2">
        <f>+N461-M461</f>
        <v>31444.5</v>
      </c>
    </row>
    <row r="462" spans="1:15" x14ac:dyDescent="0.2">
      <c r="A462" t="s">
        <v>13</v>
      </c>
      <c r="B462">
        <v>1</v>
      </c>
      <c r="C462" t="s">
        <v>126</v>
      </c>
      <c r="D462" t="s">
        <v>127</v>
      </c>
      <c r="E462" t="s">
        <v>16</v>
      </c>
      <c r="F462" t="s">
        <v>16</v>
      </c>
      <c r="G462">
        <v>6</v>
      </c>
      <c r="H462" t="s">
        <v>619</v>
      </c>
      <c r="I462" t="s">
        <v>620</v>
      </c>
      <c r="J462" t="s">
        <v>271</v>
      </c>
      <c r="K462" t="s">
        <v>181</v>
      </c>
      <c r="L462">
        <v>1</v>
      </c>
      <c r="M462" s="5">
        <v>3568</v>
      </c>
      <c r="N462" s="5">
        <f>+M462*1.3</f>
        <v>4638.4000000000005</v>
      </c>
      <c r="O462" s="2">
        <f>+N462-M462</f>
        <v>1070.4000000000005</v>
      </c>
    </row>
    <row r="463" spans="1:15" x14ac:dyDescent="0.2">
      <c r="A463" t="s">
        <v>21</v>
      </c>
      <c r="B463">
        <v>1</v>
      </c>
      <c r="C463" t="s">
        <v>126</v>
      </c>
      <c r="D463" t="s">
        <v>127</v>
      </c>
      <c r="E463" t="s">
        <v>16</v>
      </c>
      <c r="F463" t="s">
        <v>16</v>
      </c>
      <c r="G463">
        <v>6</v>
      </c>
      <c r="H463" t="s">
        <v>619</v>
      </c>
      <c r="I463" t="s">
        <v>620</v>
      </c>
      <c r="J463" t="s">
        <v>271</v>
      </c>
      <c r="K463" t="s">
        <v>181</v>
      </c>
      <c r="L463">
        <v>1</v>
      </c>
      <c r="M463" s="5">
        <v>3568</v>
      </c>
      <c r="N463" s="5">
        <f>+M463*1.3</f>
        <v>4638.4000000000005</v>
      </c>
      <c r="O463" s="2">
        <f>+N463-M463</f>
        <v>1070.4000000000005</v>
      </c>
    </row>
    <row r="464" spans="1:15" x14ac:dyDescent="0.2">
      <c r="A464" t="s">
        <v>28</v>
      </c>
      <c r="B464">
        <v>3</v>
      </c>
      <c r="C464" t="s">
        <v>126</v>
      </c>
      <c r="D464" t="s">
        <v>127</v>
      </c>
      <c r="E464" t="s">
        <v>16</v>
      </c>
      <c r="F464" t="s">
        <v>16</v>
      </c>
      <c r="G464">
        <v>6</v>
      </c>
      <c r="H464" t="s">
        <v>619</v>
      </c>
      <c r="I464" t="s">
        <v>620</v>
      </c>
      <c r="J464" t="s">
        <v>271</v>
      </c>
      <c r="K464" t="s">
        <v>181</v>
      </c>
      <c r="L464">
        <v>1</v>
      </c>
      <c r="M464" s="5">
        <v>3568</v>
      </c>
      <c r="N464" s="5">
        <f>+M464*1.3</f>
        <v>4638.4000000000005</v>
      </c>
      <c r="O464" s="2">
        <f>+N464-M464</f>
        <v>1070.4000000000005</v>
      </c>
    </row>
    <row r="465" spans="1:15" x14ac:dyDescent="0.2">
      <c r="A465" t="s">
        <v>88</v>
      </c>
      <c r="B465">
        <v>1</v>
      </c>
      <c r="C465" t="s">
        <v>14</v>
      </c>
      <c r="D465" t="s">
        <v>89</v>
      </c>
      <c r="E465" t="s">
        <v>16</v>
      </c>
      <c r="F465" t="s">
        <v>16</v>
      </c>
      <c r="G465">
        <v>100</v>
      </c>
      <c r="H465" t="s">
        <v>621</v>
      </c>
      <c r="I465" t="s">
        <v>622</v>
      </c>
      <c r="J465" t="s">
        <v>39</v>
      </c>
      <c r="K465" t="s">
        <v>40</v>
      </c>
      <c r="L465">
        <v>12</v>
      </c>
      <c r="M465" s="5">
        <v>75998</v>
      </c>
      <c r="N465" s="5">
        <f>+M465*1.3</f>
        <v>98797.400000000009</v>
      </c>
      <c r="O465" s="2">
        <f>+N465-M465</f>
        <v>22799.400000000009</v>
      </c>
    </row>
    <row r="466" spans="1:15" x14ac:dyDescent="0.2">
      <c r="A466" t="s">
        <v>28</v>
      </c>
      <c r="B466">
        <v>1</v>
      </c>
      <c r="C466" t="s">
        <v>126</v>
      </c>
      <c r="D466" t="s">
        <v>130</v>
      </c>
      <c r="E466" t="s">
        <v>16</v>
      </c>
      <c r="F466" t="s">
        <v>16</v>
      </c>
      <c r="G466">
        <v>1</v>
      </c>
      <c r="H466" t="s">
        <v>623</v>
      </c>
      <c r="I466" t="s">
        <v>344</v>
      </c>
      <c r="J466" t="s">
        <v>103</v>
      </c>
      <c r="K466" t="s">
        <v>50</v>
      </c>
      <c r="L466">
        <v>1</v>
      </c>
      <c r="M466" s="5">
        <v>49212</v>
      </c>
      <c r="N466" s="5">
        <f>+M466*1.3</f>
        <v>63975.600000000006</v>
      </c>
      <c r="O466" s="2">
        <f>+N466-M466</f>
        <v>14763.600000000006</v>
      </c>
    </row>
    <row r="467" spans="1:15" x14ac:dyDescent="0.2">
      <c r="A467" t="s">
        <v>28</v>
      </c>
      <c r="B467">
        <v>3</v>
      </c>
      <c r="C467" t="s">
        <v>126</v>
      </c>
      <c r="D467" t="s">
        <v>130</v>
      </c>
      <c r="E467" t="s">
        <v>16</v>
      </c>
      <c r="F467" t="s">
        <v>16</v>
      </c>
      <c r="G467">
        <v>1</v>
      </c>
      <c r="H467" t="s">
        <v>624</v>
      </c>
      <c r="I467" t="s">
        <v>625</v>
      </c>
      <c r="J467" t="s">
        <v>180</v>
      </c>
      <c r="K467" t="s">
        <v>181</v>
      </c>
      <c r="L467">
        <v>1</v>
      </c>
      <c r="M467" s="5">
        <v>738</v>
      </c>
      <c r="N467" s="5">
        <f>+M467*1.3</f>
        <v>959.4</v>
      </c>
      <c r="O467" s="2">
        <f>+N467-M467</f>
        <v>221.39999999999998</v>
      </c>
    </row>
    <row r="468" spans="1:15" x14ac:dyDescent="0.2">
      <c r="A468" t="s">
        <v>13</v>
      </c>
      <c r="B468">
        <v>3</v>
      </c>
      <c r="C468" t="s">
        <v>126</v>
      </c>
      <c r="D468" t="s">
        <v>127</v>
      </c>
      <c r="E468" t="s">
        <v>16</v>
      </c>
      <c r="F468" t="s">
        <v>16</v>
      </c>
      <c r="G468">
        <v>2</v>
      </c>
      <c r="H468" t="s">
        <v>626</v>
      </c>
      <c r="I468" t="s">
        <v>401</v>
      </c>
      <c r="J468" t="s">
        <v>103</v>
      </c>
      <c r="K468" t="s">
        <v>50</v>
      </c>
      <c r="L468">
        <v>1</v>
      </c>
      <c r="M468" s="5">
        <v>67834</v>
      </c>
      <c r="N468" s="5">
        <f>+M468*1.3</f>
        <v>88184.2</v>
      </c>
      <c r="O468" s="2">
        <f>+N468-M468</f>
        <v>20350.199999999997</v>
      </c>
    </row>
    <row r="469" spans="1:15" x14ac:dyDescent="0.2">
      <c r="A469" t="s">
        <v>21</v>
      </c>
      <c r="B469">
        <v>2</v>
      </c>
      <c r="C469" t="s">
        <v>126</v>
      </c>
      <c r="D469" t="s">
        <v>127</v>
      </c>
      <c r="E469" t="s">
        <v>16</v>
      </c>
      <c r="F469" t="s">
        <v>16</v>
      </c>
      <c r="G469">
        <v>2</v>
      </c>
      <c r="H469" t="s">
        <v>626</v>
      </c>
      <c r="I469" t="s">
        <v>401</v>
      </c>
      <c r="J469" t="s">
        <v>103</v>
      </c>
      <c r="K469" t="s">
        <v>50</v>
      </c>
      <c r="L469">
        <v>1</v>
      </c>
      <c r="M469" s="5">
        <v>67834</v>
      </c>
      <c r="N469" s="5">
        <f>+M469*1.3</f>
        <v>88184.2</v>
      </c>
      <c r="O469" s="2">
        <f>+N469-M469</f>
        <v>20350.199999999997</v>
      </c>
    </row>
    <row r="470" spans="1:15" x14ac:dyDescent="0.2">
      <c r="A470" t="s">
        <v>28</v>
      </c>
      <c r="B470">
        <v>1</v>
      </c>
      <c r="C470" t="s">
        <v>126</v>
      </c>
      <c r="D470" t="s">
        <v>127</v>
      </c>
      <c r="E470" t="s">
        <v>16</v>
      </c>
      <c r="F470" t="s">
        <v>16</v>
      </c>
      <c r="G470">
        <v>2</v>
      </c>
      <c r="H470" t="s">
        <v>626</v>
      </c>
      <c r="I470" t="s">
        <v>401</v>
      </c>
      <c r="J470" t="s">
        <v>103</v>
      </c>
      <c r="K470" t="s">
        <v>50</v>
      </c>
      <c r="L470">
        <v>1</v>
      </c>
      <c r="M470" s="5">
        <v>67834</v>
      </c>
      <c r="N470" s="5">
        <f>+M470*1.3</f>
        <v>88184.2</v>
      </c>
      <c r="O470" s="2">
        <f>+N470-M470</f>
        <v>20350.199999999997</v>
      </c>
    </row>
    <row r="471" spans="1:15" x14ac:dyDescent="0.2">
      <c r="A471" t="s">
        <v>13</v>
      </c>
      <c r="B471">
        <v>1</v>
      </c>
      <c r="C471" t="s">
        <v>126</v>
      </c>
      <c r="D471" t="s">
        <v>127</v>
      </c>
      <c r="E471" t="s">
        <v>16</v>
      </c>
      <c r="F471" t="s">
        <v>16</v>
      </c>
      <c r="G471">
        <v>1</v>
      </c>
      <c r="H471" t="s">
        <v>627</v>
      </c>
      <c r="I471" t="s">
        <v>628</v>
      </c>
      <c r="J471" t="s">
        <v>180</v>
      </c>
      <c r="K471" t="s">
        <v>181</v>
      </c>
      <c r="L471">
        <v>1</v>
      </c>
      <c r="M471" s="5">
        <v>953</v>
      </c>
      <c r="N471" s="5">
        <f>+M471*1.3</f>
        <v>1238.9000000000001</v>
      </c>
      <c r="O471" s="2">
        <f>+N471-M471</f>
        <v>285.90000000000009</v>
      </c>
    </row>
    <row r="472" spans="1:15" x14ac:dyDescent="0.2">
      <c r="A472" t="s">
        <v>21</v>
      </c>
      <c r="B472">
        <v>1</v>
      </c>
      <c r="C472" t="s">
        <v>126</v>
      </c>
      <c r="D472" t="s">
        <v>127</v>
      </c>
      <c r="E472" t="s">
        <v>16</v>
      </c>
      <c r="F472" t="s">
        <v>16</v>
      </c>
      <c r="G472">
        <v>1</v>
      </c>
      <c r="H472" t="s">
        <v>627</v>
      </c>
      <c r="I472" t="s">
        <v>628</v>
      </c>
      <c r="J472" t="s">
        <v>180</v>
      </c>
      <c r="K472" t="s">
        <v>181</v>
      </c>
      <c r="L472">
        <v>1</v>
      </c>
      <c r="M472" s="5">
        <v>953</v>
      </c>
      <c r="N472" s="5">
        <f>+M472*1.3</f>
        <v>1238.9000000000001</v>
      </c>
      <c r="O472" s="2">
        <f>+N472-M472</f>
        <v>285.90000000000009</v>
      </c>
    </row>
    <row r="473" spans="1:15" x14ac:dyDescent="0.2">
      <c r="A473" t="s">
        <v>28</v>
      </c>
      <c r="B473">
        <v>3</v>
      </c>
      <c r="C473" t="s">
        <v>126</v>
      </c>
      <c r="D473" t="s">
        <v>127</v>
      </c>
      <c r="E473" t="s">
        <v>16</v>
      </c>
      <c r="F473" t="s">
        <v>16</v>
      </c>
      <c r="G473">
        <v>1</v>
      </c>
      <c r="H473" t="s">
        <v>627</v>
      </c>
      <c r="I473" t="s">
        <v>628</v>
      </c>
      <c r="J473" t="s">
        <v>180</v>
      </c>
      <c r="K473" t="s">
        <v>181</v>
      </c>
      <c r="L473">
        <v>1</v>
      </c>
      <c r="M473" s="5">
        <v>953</v>
      </c>
      <c r="N473" s="5">
        <f>+M473*1.3</f>
        <v>1238.9000000000001</v>
      </c>
      <c r="O473" s="2">
        <f>+N473-M473</f>
        <v>285.90000000000009</v>
      </c>
    </row>
    <row r="474" spans="1:15" x14ac:dyDescent="0.2">
      <c r="A474" t="s">
        <v>28</v>
      </c>
      <c r="B474">
        <v>3</v>
      </c>
      <c r="C474" t="s">
        <v>126</v>
      </c>
      <c r="D474" t="s">
        <v>130</v>
      </c>
      <c r="E474" t="s">
        <v>16</v>
      </c>
      <c r="F474" t="s">
        <v>16</v>
      </c>
      <c r="G474">
        <v>7</v>
      </c>
      <c r="H474" t="s">
        <v>629</v>
      </c>
      <c r="I474" t="s">
        <v>630</v>
      </c>
      <c r="J474" t="s">
        <v>271</v>
      </c>
      <c r="K474" t="s">
        <v>181</v>
      </c>
      <c r="L474">
        <v>12</v>
      </c>
      <c r="M474" s="5">
        <v>23118</v>
      </c>
      <c r="N474" s="5">
        <f>+M474*1.3</f>
        <v>30053.4</v>
      </c>
      <c r="O474" s="2">
        <f>+N474-M474</f>
        <v>6935.4000000000015</v>
      </c>
    </row>
    <row r="475" spans="1:15" x14ac:dyDescent="0.2">
      <c r="A475" t="s">
        <v>28</v>
      </c>
      <c r="B475">
        <v>3</v>
      </c>
      <c r="C475" t="s">
        <v>126</v>
      </c>
      <c r="D475" t="s">
        <v>130</v>
      </c>
      <c r="E475" t="s">
        <v>16</v>
      </c>
      <c r="F475" t="s">
        <v>16</v>
      </c>
      <c r="G475">
        <v>7</v>
      </c>
      <c r="H475" t="s">
        <v>631</v>
      </c>
      <c r="I475" t="s">
        <v>371</v>
      </c>
      <c r="J475" t="s">
        <v>271</v>
      </c>
      <c r="K475" t="s">
        <v>181</v>
      </c>
      <c r="L475">
        <v>24</v>
      </c>
      <c r="M475" s="5">
        <v>46235</v>
      </c>
      <c r="N475" s="5">
        <f>+M475*1.3</f>
        <v>60105.5</v>
      </c>
      <c r="O475" s="2">
        <f>+N475-M475</f>
        <v>13870.5</v>
      </c>
    </row>
    <row r="476" spans="1:15" x14ac:dyDescent="0.2">
      <c r="A476" t="s">
        <v>28</v>
      </c>
      <c r="B476">
        <v>3</v>
      </c>
      <c r="C476" t="s">
        <v>126</v>
      </c>
      <c r="D476" t="s">
        <v>130</v>
      </c>
      <c r="E476" t="s">
        <v>16</v>
      </c>
      <c r="F476" t="s">
        <v>16</v>
      </c>
      <c r="G476">
        <v>2</v>
      </c>
      <c r="H476" t="s">
        <v>632</v>
      </c>
      <c r="I476" t="s">
        <v>633</v>
      </c>
      <c r="J476" t="s">
        <v>180</v>
      </c>
      <c r="K476" t="s">
        <v>181</v>
      </c>
      <c r="L476">
        <v>1</v>
      </c>
      <c r="M476" s="5">
        <v>842</v>
      </c>
      <c r="N476" s="5">
        <f>+M476*1.3</f>
        <v>1094.6000000000001</v>
      </c>
      <c r="O476" s="2">
        <f>+N476-M476</f>
        <v>252.60000000000014</v>
      </c>
    </row>
    <row r="477" spans="1:15" x14ac:dyDescent="0.2">
      <c r="A477" t="s">
        <v>41</v>
      </c>
      <c r="B477">
        <v>3</v>
      </c>
      <c r="C477" t="s">
        <v>126</v>
      </c>
      <c r="D477" t="s">
        <v>610</v>
      </c>
      <c r="E477" t="s">
        <v>16</v>
      </c>
      <c r="F477" t="s">
        <v>16</v>
      </c>
      <c r="G477">
        <v>2</v>
      </c>
      <c r="H477" t="s">
        <v>634</v>
      </c>
      <c r="I477" t="s">
        <v>635</v>
      </c>
      <c r="J477" t="s">
        <v>271</v>
      </c>
      <c r="K477" t="s">
        <v>181</v>
      </c>
      <c r="L477">
        <v>12</v>
      </c>
      <c r="M477" s="5">
        <v>21216</v>
      </c>
      <c r="N477" s="5">
        <f>+M477*1.3</f>
        <v>27580.799999999999</v>
      </c>
      <c r="O477" s="2">
        <f>+N477-M477</f>
        <v>6364.7999999999993</v>
      </c>
    </row>
    <row r="478" spans="1:15" x14ac:dyDescent="0.2">
      <c r="A478" t="s">
        <v>41</v>
      </c>
      <c r="B478">
        <v>3</v>
      </c>
      <c r="C478" t="s">
        <v>126</v>
      </c>
      <c r="D478" t="s">
        <v>610</v>
      </c>
      <c r="E478" t="s">
        <v>16</v>
      </c>
      <c r="F478" t="s">
        <v>16</v>
      </c>
      <c r="G478">
        <v>1</v>
      </c>
      <c r="H478" t="s">
        <v>636</v>
      </c>
      <c r="I478" t="s">
        <v>637</v>
      </c>
      <c r="J478" t="s">
        <v>180</v>
      </c>
      <c r="K478" t="s">
        <v>181</v>
      </c>
      <c r="L478">
        <v>1</v>
      </c>
      <c r="M478" s="5">
        <v>846</v>
      </c>
      <c r="N478" s="5">
        <f>+M478*1.3</f>
        <v>1099.8</v>
      </c>
      <c r="O478" s="2">
        <f>+N478-M478</f>
        <v>253.79999999999995</v>
      </c>
    </row>
    <row r="479" spans="1:15" x14ac:dyDescent="0.2">
      <c r="A479" t="s">
        <v>13</v>
      </c>
      <c r="B479">
        <v>1</v>
      </c>
      <c r="C479" t="s">
        <v>126</v>
      </c>
      <c r="D479" t="s">
        <v>127</v>
      </c>
      <c r="E479" t="s">
        <v>16</v>
      </c>
      <c r="F479" t="s">
        <v>16</v>
      </c>
      <c r="G479">
        <v>3</v>
      </c>
      <c r="H479" t="s">
        <v>638</v>
      </c>
      <c r="I479" t="s">
        <v>270</v>
      </c>
      <c r="J479" t="s">
        <v>271</v>
      </c>
      <c r="K479" t="s">
        <v>181</v>
      </c>
      <c r="L479">
        <v>12</v>
      </c>
      <c r="M479" s="5">
        <v>21194</v>
      </c>
      <c r="N479" s="5">
        <f>+M479*1.3</f>
        <v>27552.2</v>
      </c>
      <c r="O479" s="2">
        <f>+N479-M479</f>
        <v>6358.2000000000007</v>
      </c>
    </row>
    <row r="480" spans="1:15" x14ac:dyDescent="0.2">
      <c r="A480" t="s">
        <v>21</v>
      </c>
      <c r="B480">
        <v>1</v>
      </c>
      <c r="C480" t="s">
        <v>126</v>
      </c>
      <c r="D480" t="s">
        <v>127</v>
      </c>
      <c r="E480" t="s">
        <v>16</v>
      </c>
      <c r="F480" t="s">
        <v>16</v>
      </c>
      <c r="G480">
        <v>3</v>
      </c>
      <c r="H480" t="s">
        <v>638</v>
      </c>
      <c r="I480" t="s">
        <v>270</v>
      </c>
      <c r="J480" t="s">
        <v>271</v>
      </c>
      <c r="K480" t="s">
        <v>181</v>
      </c>
      <c r="L480">
        <v>12</v>
      </c>
      <c r="M480" s="5">
        <v>21194</v>
      </c>
      <c r="N480" s="5">
        <f>+M480*1.3</f>
        <v>27552.2</v>
      </c>
      <c r="O480" s="2">
        <f>+N480-M480</f>
        <v>6358.2000000000007</v>
      </c>
    </row>
    <row r="481" spans="1:15" x14ac:dyDescent="0.2">
      <c r="A481" t="s">
        <v>28</v>
      </c>
      <c r="B481">
        <v>3</v>
      </c>
      <c r="C481" t="s">
        <v>126</v>
      </c>
      <c r="D481" t="s">
        <v>127</v>
      </c>
      <c r="E481" t="s">
        <v>16</v>
      </c>
      <c r="F481" t="s">
        <v>16</v>
      </c>
      <c r="G481">
        <v>3</v>
      </c>
      <c r="H481" t="s">
        <v>638</v>
      </c>
      <c r="I481" t="s">
        <v>270</v>
      </c>
      <c r="J481" t="s">
        <v>271</v>
      </c>
      <c r="K481" t="s">
        <v>181</v>
      </c>
      <c r="L481">
        <v>12</v>
      </c>
      <c r="M481" s="5">
        <v>21194</v>
      </c>
      <c r="N481" s="5">
        <f>+M481*1.3</f>
        <v>27552.2</v>
      </c>
      <c r="O481" s="2">
        <f>+N481-M481</f>
        <v>6358.2000000000007</v>
      </c>
    </row>
    <row r="482" spans="1:15" x14ac:dyDescent="0.2">
      <c r="A482" t="s">
        <v>13</v>
      </c>
      <c r="B482">
        <v>1</v>
      </c>
      <c r="C482" t="s">
        <v>126</v>
      </c>
      <c r="D482" t="s">
        <v>127</v>
      </c>
      <c r="E482" t="s">
        <v>16</v>
      </c>
      <c r="F482" t="s">
        <v>16</v>
      </c>
      <c r="G482">
        <v>2</v>
      </c>
      <c r="H482" t="s">
        <v>639</v>
      </c>
      <c r="I482" t="s">
        <v>640</v>
      </c>
      <c r="J482" t="s">
        <v>97</v>
      </c>
      <c r="K482" t="s">
        <v>40</v>
      </c>
      <c r="L482">
        <v>1</v>
      </c>
      <c r="M482" s="5">
        <v>2645</v>
      </c>
      <c r="N482" s="5">
        <f>+M482*1.3</f>
        <v>3438.5</v>
      </c>
      <c r="O482" s="2">
        <f>+N482-M482</f>
        <v>793.5</v>
      </c>
    </row>
    <row r="483" spans="1:15" x14ac:dyDescent="0.2">
      <c r="A483" t="s">
        <v>21</v>
      </c>
      <c r="B483">
        <v>1</v>
      </c>
      <c r="C483" t="s">
        <v>126</v>
      </c>
      <c r="D483" t="s">
        <v>127</v>
      </c>
      <c r="E483" t="s">
        <v>16</v>
      </c>
      <c r="F483" t="s">
        <v>16</v>
      </c>
      <c r="G483">
        <v>2</v>
      </c>
      <c r="H483" t="s">
        <v>639</v>
      </c>
      <c r="I483" t="s">
        <v>640</v>
      </c>
      <c r="J483" t="s">
        <v>97</v>
      </c>
      <c r="K483" t="s">
        <v>40</v>
      </c>
      <c r="L483">
        <v>1</v>
      </c>
      <c r="M483" s="5">
        <v>2645</v>
      </c>
      <c r="N483" s="5">
        <f>+M483*1.3</f>
        <v>3438.5</v>
      </c>
      <c r="O483" s="2">
        <f>+N483-M483</f>
        <v>793.5</v>
      </c>
    </row>
    <row r="484" spans="1:15" x14ac:dyDescent="0.2">
      <c r="A484" t="s">
        <v>28</v>
      </c>
      <c r="B484">
        <v>3</v>
      </c>
      <c r="C484" t="s">
        <v>126</v>
      </c>
      <c r="D484" t="s">
        <v>127</v>
      </c>
      <c r="E484" t="s">
        <v>16</v>
      </c>
      <c r="F484" t="s">
        <v>16</v>
      </c>
      <c r="G484">
        <v>2</v>
      </c>
      <c r="H484" t="s">
        <v>639</v>
      </c>
      <c r="I484" t="s">
        <v>640</v>
      </c>
      <c r="J484" t="s">
        <v>97</v>
      </c>
      <c r="K484" t="s">
        <v>40</v>
      </c>
      <c r="L484">
        <v>1</v>
      </c>
      <c r="M484" s="5">
        <v>2645</v>
      </c>
      <c r="N484" s="5">
        <f>+M484*1.3</f>
        <v>3438.5</v>
      </c>
      <c r="O484" s="2">
        <f>+N484-M484</f>
        <v>793.5</v>
      </c>
    </row>
    <row r="485" spans="1:15" x14ac:dyDescent="0.2">
      <c r="A485" t="s">
        <v>13</v>
      </c>
      <c r="B485">
        <v>1</v>
      </c>
      <c r="C485" t="s">
        <v>126</v>
      </c>
      <c r="D485" t="s">
        <v>127</v>
      </c>
      <c r="E485" t="s">
        <v>16</v>
      </c>
      <c r="F485" t="s">
        <v>16</v>
      </c>
      <c r="G485">
        <v>3</v>
      </c>
      <c r="H485" t="s">
        <v>641</v>
      </c>
      <c r="I485" t="s">
        <v>277</v>
      </c>
      <c r="J485" t="s">
        <v>271</v>
      </c>
      <c r="K485" t="s">
        <v>181</v>
      </c>
      <c r="L485">
        <v>24</v>
      </c>
      <c r="M485" s="5">
        <v>42390</v>
      </c>
      <c r="N485" s="5">
        <f>+M485*1.3</f>
        <v>55107</v>
      </c>
      <c r="O485" s="2">
        <f>+N485-M485</f>
        <v>12717</v>
      </c>
    </row>
    <row r="486" spans="1:15" x14ac:dyDescent="0.2">
      <c r="A486" t="s">
        <v>21</v>
      </c>
      <c r="B486">
        <v>1</v>
      </c>
      <c r="C486" t="s">
        <v>126</v>
      </c>
      <c r="D486" t="s">
        <v>127</v>
      </c>
      <c r="E486" t="s">
        <v>16</v>
      </c>
      <c r="F486" t="s">
        <v>16</v>
      </c>
      <c r="G486">
        <v>3</v>
      </c>
      <c r="H486" t="s">
        <v>641</v>
      </c>
      <c r="I486" t="s">
        <v>277</v>
      </c>
      <c r="J486" t="s">
        <v>271</v>
      </c>
      <c r="K486" t="s">
        <v>181</v>
      </c>
      <c r="L486">
        <v>24</v>
      </c>
      <c r="M486" s="5">
        <v>42390</v>
      </c>
      <c r="N486" s="5">
        <f>+M486*1.3</f>
        <v>55107</v>
      </c>
      <c r="O486" s="2">
        <f>+N486-M486</f>
        <v>12717</v>
      </c>
    </row>
    <row r="487" spans="1:15" x14ac:dyDescent="0.2">
      <c r="A487" t="s">
        <v>28</v>
      </c>
      <c r="B487">
        <v>3</v>
      </c>
      <c r="C487" t="s">
        <v>126</v>
      </c>
      <c r="D487" t="s">
        <v>127</v>
      </c>
      <c r="E487" t="s">
        <v>16</v>
      </c>
      <c r="F487" t="s">
        <v>16</v>
      </c>
      <c r="G487">
        <v>3</v>
      </c>
      <c r="H487" t="s">
        <v>641</v>
      </c>
      <c r="I487" t="s">
        <v>277</v>
      </c>
      <c r="J487" t="s">
        <v>271</v>
      </c>
      <c r="K487" t="s">
        <v>181</v>
      </c>
      <c r="L487">
        <v>24</v>
      </c>
      <c r="M487" s="5">
        <v>42390</v>
      </c>
      <c r="N487" s="5">
        <f>+M487*1.3</f>
        <v>55107</v>
      </c>
      <c r="O487" s="2">
        <f>+N487-M487</f>
        <v>12717</v>
      </c>
    </row>
    <row r="488" spans="1:15" x14ac:dyDescent="0.2">
      <c r="A488" t="s">
        <v>28</v>
      </c>
      <c r="B488">
        <v>3</v>
      </c>
      <c r="C488" t="s">
        <v>126</v>
      </c>
      <c r="D488" t="s">
        <v>130</v>
      </c>
      <c r="E488" t="s">
        <v>16</v>
      </c>
      <c r="F488" t="s">
        <v>16</v>
      </c>
      <c r="G488">
        <v>7</v>
      </c>
      <c r="H488" t="s">
        <v>642</v>
      </c>
      <c r="I488" t="s">
        <v>643</v>
      </c>
      <c r="J488" t="s">
        <v>271</v>
      </c>
      <c r="K488" t="s">
        <v>181</v>
      </c>
      <c r="L488">
        <v>12</v>
      </c>
      <c r="M488" s="5">
        <v>23118</v>
      </c>
      <c r="N488" s="5">
        <f>+M488*1.3</f>
        <v>30053.4</v>
      </c>
      <c r="O488" s="2">
        <f>+N488-M488</f>
        <v>6935.4000000000015</v>
      </c>
    </row>
    <row r="489" spans="1:15" x14ac:dyDescent="0.2">
      <c r="A489" t="s">
        <v>13</v>
      </c>
      <c r="B489">
        <v>1</v>
      </c>
      <c r="C489" t="s">
        <v>126</v>
      </c>
      <c r="D489" t="s">
        <v>127</v>
      </c>
      <c r="E489" t="s">
        <v>16</v>
      </c>
      <c r="F489" t="s">
        <v>16</v>
      </c>
      <c r="G489">
        <v>1</v>
      </c>
      <c r="H489" t="s">
        <v>644</v>
      </c>
      <c r="I489" t="s">
        <v>645</v>
      </c>
      <c r="J489" t="s">
        <v>646</v>
      </c>
      <c r="K489" t="s">
        <v>57</v>
      </c>
      <c r="L489">
        <v>1</v>
      </c>
      <c r="M489" s="5">
        <v>1015106</v>
      </c>
      <c r="N489" s="5">
        <f>+M489*1.3</f>
        <v>1319637.8</v>
      </c>
      <c r="O489" s="2">
        <f>+N489-M489</f>
        <v>304531.80000000005</v>
      </c>
    </row>
    <row r="490" spans="1:15" x14ac:dyDescent="0.2">
      <c r="A490" t="s">
        <v>21</v>
      </c>
      <c r="B490">
        <v>3</v>
      </c>
      <c r="C490" t="s">
        <v>126</v>
      </c>
      <c r="D490" t="s">
        <v>127</v>
      </c>
      <c r="E490" t="s">
        <v>16</v>
      </c>
      <c r="F490" t="s">
        <v>16</v>
      </c>
      <c r="G490">
        <v>1</v>
      </c>
      <c r="H490" t="s">
        <v>644</v>
      </c>
      <c r="I490" t="s">
        <v>645</v>
      </c>
      <c r="J490" t="s">
        <v>646</v>
      </c>
      <c r="K490" t="s">
        <v>57</v>
      </c>
      <c r="L490">
        <v>1</v>
      </c>
      <c r="M490" s="5">
        <v>1015106</v>
      </c>
      <c r="N490" s="5">
        <f>+M490*1.3</f>
        <v>1319637.8</v>
      </c>
      <c r="O490" s="2">
        <f>+N490-M490</f>
        <v>304531.80000000005</v>
      </c>
    </row>
    <row r="491" spans="1:15" x14ac:dyDescent="0.2">
      <c r="A491" t="s">
        <v>28</v>
      </c>
      <c r="B491">
        <v>1</v>
      </c>
      <c r="C491" t="s">
        <v>126</v>
      </c>
      <c r="D491" t="s">
        <v>127</v>
      </c>
      <c r="E491" t="s">
        <v>16</v>
      </c>
      <c r="F491" t="s">
        <v>16</v>
      </c>
      <c r="G491">
        <v>1</v>
      </c>
      <c r="H491" t="s">
        <v>644</v>
      </c>
      <c r="I491" t="s">
        <v>645</v>
      </c>
      <c r="J491" t="s">
        <v>646</v>
      </c>
      <c r="K491" t="s">
        <v>57</v>
      </c>
      <c r="L491">
        <v>1</v>
      </c>
      <c r="M491" s="5">
        <v>1015106</v>
      </c>
      <c r="N491" s="5">
        <f>+M491*1.3</f>
        <v>1319637.8</v>
      </c>
      <c r="O491" s="2">
        <f>+N491-M491</f>
        <v>304531.80000000005</v>
      </c>
    </row>
    <row r="492" spans="1:15" x14ac:dyDescent="0.2">
      <c r="A492" t="s">
        <v>28</v>
      </c>
      <c r="B492">
        <v>3</v>
      </c>
      <c r="C492" t="s">
        <v>126</v>
      </c>
      <c r="D492" t="s">
        <v>130</v>
      </c>
      <c r="E492" t="s">
        <v>16</v>
      </c>
      <c r="F492" t="s">
        <v>16</v>
      </c>
      <c r="G492">
        <v>3</v>
      </c>
      <c r="H492" t="s">
        <v>647</v>
      </c>
      <c r="I492" t="s">
        <v>236</v>
      </c>
      <c r="J492" t="s">
        <v>180</v>
      </c>
      <c r="K492" t="s">
        <v>181</v>
      </c>
      <c r="L492">
        <v>12</v>
      </c>
      <c r="M492" s="5">
        <v>10942</v>
      </c>
      <c r="N492" s="5">
        <f>+M492*1.3</f>
        <v>14224.6</v>
      </c>
      <c r="O492" s="2">
        <f>+N492-M492</f>
        <v>3282.6000000000004</v>
      </c>
    </row>
    <row r="493" spans="1:15" x14ac:dyDescent="0.2">
      <c r="A493" t="s">
        <v>13</v>
      </c>
      <c r="B493">
        <v>1</v>
      </c>
      <c r="C493" t="s">
        <v>126</v>
      </c>
      <c r="D493" t="s">
        <v>127</v>
      </c>
      <c r="E493" t="s">
        <v>16</v>
      </c>
      <c r="F493" t="s">
        <v>16</v>
      </c>
      <c r="G493">
        <v>1</v>
      </c>
      <c r="H493" t="s">
        <v>648</v>
      </c>
      <c r="I493" t="s">
        <v>198</v>
      </c>
      <c r="J493" t="s">
        <v>180</v>
      </c>
      <c r="K493" t="s">
        <v>181</v>
      </c>
      <c r="L493">
        <v>12</v>
      </c>
      <c r="M493" s="5">
        <v>11434</v>
      </c>
      <c r="N493" s="5">
        <f>+M493*1.3</f>
        <v>14864.2</v>
      </c>
      <c r="O493" s="2">
        <f>+N493-M493</f>
        <v>3430.2000000000007</v>
      </c>
    </row>
    <row r="494" spans="1:15" x14ac:dyDescent="0.2">
      <c r="A494" t="s">
        <v>21</v>
      </c>
      <c r="B494">
        <v>1</v>
      </c>
      <c r="C494" t="s">
        <v>126</v>
      </c>
      <c r="D494" t="s">
        <v>127</v>
      </c>
      <c r="E494" t="s">
        <v>16</v>
      </c>
      <c r="F494" t="s">
        <v>16</v>
      </c>
      <c r="G494">
        <v>1</v>
      </c>
      <c r="H494" t="s">
        <v>648</v>
      </c>
      <c r="I494" t="s">
        <v>198</v>
      </c>
      <c r="J494" t="s">
        <v>180</v>
      </c>
      <c r="K494" t="s">
        <v>181</v>
      </c>
      <c r="L494">
        <v>12</v>
      </c>
      <c r="M494" s="5">
        <v>11434</v>
      </c>
      <c r="N494" s="5">
        <f>+M494*1.3</f>
        <v>14864.2</v>
      </c>
      <c r="O494" s="2">
        <f>+N494-M494</f>
        <v>3430.2000000000007</v>
      </c>
    </row>
    <row r="495" spans="1:15" x14ac:dyDescent="0.2">
      <c r="A495" t="s">
        <v>28</v>
      </c>
      <c r="B495">
        <v>3</v>
      </c>
      <c r="C495" t="s">
        <v>126</v>
      </c>
      <c r="D495" t="s">
        <v>127</v>
      </c>
      <c r="E495" t="s">
        <v>16</v>
      </c>
      <c r="F495" t="s">
        <v>16</v>
      </c>
      <c r="G495">
        <v>1</v>
      </c>
      <c r="H495" t="s">
        <v>648</v>
      </c>
      <c r="I495" t="s">
        <v>198</v>
      </c>
      <c r="J495" t="s">
        <v>180</v>
      </c>
      <c r="K495" t="s">
        <v>181</v>
      </c>
      <c r="L495">
        <v>12</v>
      </c>
      <c r="M495" s="5">
        <v>11434</v>
      </c>
      <c r="N495" s="5">
        <f>+M495*1.3</f>
        <v>14864.2</v>
      </c>
      <c r="O495" s="2">
        <f>+N495-M495</f>
        <v>3430.2000000000007</v>
      </c>
    </row>
    <row r="496" spans="1:15" x14ac:dyDescent="0.2">
      <c r="A496" t="s">
        <v>13</v>
      </c>
      <c r="B496">
        <v>1</v>
      </c>
      <c r="C496" t="s">
        <v>126</v>
      </c>
      <c r="D496" t="s">
        <v>127</v>
      </c>
      <c r="E496" t="s">
        <v>16</v>
      </c>
      <c r="F496" t="s">
        <v>16</v>
      </c>
      <c r="G496">
        <v>1</v>
      </c>
      <c r="H496" t="s">
        <v>649</v>
      </c>
      <c r="I496" t="s">
        <v>650</v>
      </c>
      <c r="J496" t="s">
        <v>180</v>
      </c>
      <c r="K496" t="s">
        <v>181</v>
      </c>
      <c r="L496">
        <v>24</v>
      </c>
      <c r="M496" s="5">
        <v>22867</v>
      </c>
      <c r="N496" s="5">
        <f>+M496*1.3</f>
        <v>29727.100000000002</v>
      </c>
      <c r="O496" s="2">
        <f>+N496-M496</f>
        <v>6860.1000000000022</v>
      </c>
    </row>
    <row r="497" spans="1:15" x14ac:dyDescent="0.2">
      <c r="A497" t="s">
        <v>21</v>
      </c>
      <c r="B497">
        <v>1</v>
      </c>
      <c r="C497" t="s">
        <v>126</v>
      </c>
      <c r="D497" t="s">
        <v>127</v>
      </c>
      <c r="E497" t="s">
        <v>16</v>
      </c>
      <c r="F497" t="s">
        <v>16</v>
      </c>
      <c r="G497">
        <v>1</v>
      </c>
      <c r="H497" t="s">
        <v>649</v>
      </c>
      <c r="I497" t="s">
        <v>650</v>
      </c>
      <c r="J497" t="s">
        <v>180</v>
      </c>
      <c r="K497" t="s">
        <v>181</v>
      </c>
      <c r="L497">
        <v>24</v>
      </c>
      <c r="M497" s="5">
        <v>22867</v>
      </c>
      <c r="N497" s="5">
        <f>+M497*1.3</f>
        <v>29727.100000000002</v>
      </c>
      <c r="O497" s="2">
        <f>+N497-M497</f>
        <v>6860.1000000000022</v>
      </c>
    </row>
    <row r="498" spans="1:15" x14ac:dyDescent="0.2">
      <c r="A498" t="s">
        <v>28</v>
      </c>
      <c r="B498">
        <v>3</v>
      </c>
      <c r="C498" t="s">
        <v>126</v>
      </c>
      <c r="D498" t="s">
        <v>127</v>
      </c>
      <c r="E498" t="s">
        <v>16</v>
      </c>
      <c r="F498" t="s">
        <v>16</v>
      </c>
      <c r="G498">
        <v>1</v>
      </c>
      <c r="H498" t="s">
        <v>649</v>
      </c>
      <c r="I498" t="s">
        <v>650</v>
      </c>
      <c r="J498" t="s">
        <v>180</v>
      </c>
      <c r="K498" t="s">
        <v>181</v>
      </c>
      <c r="L498">
        <v>24</v>
      </c>
      <c r="M498" s="5">
        <v>22867</v>
      </c>
      <c r="N498" s="5">
        <f>+M498*1.3</f>
        <v>29727.100000000002</v>
      </c>
      <c r="O498" s="2">
        <f>+N498-M498</f>
        <v>6860.1000000000022</v>
      </c>
    </row>
    <row r="499" spans="1:15" x14ac:dyDescent="0.2">
      <c r="A499" t="s">
        <v>28</v>
      </c>
      <c r="B499">
        <v>3</v>
      </c>
      <c r="C499" t="s">
        <v>126</v>
      </c>
      <c r="D499" t="s">
        <v>130</v>
      </c>
      <c r="E499" t="s">
        <v>16</v>
      </c>
      <c r="F499" t="s">
        <v>16</v>
      </c>
      <c r="G499">
        <v>3</v>
      </c>
      <c r="H499" t="s">
        <v>651</v>
      </c>
      <c r="I499" t="s">
        <v>179</v>
      </c>
      <c r="J499" t="s">
        <v>180</v>
      </c>
      <c r="K499" t="s">
        <v>181</v>
      </c>
      <c r="L499">
        <v>12</v>
      </c>
      <c r="M499" s="5">
        <v>10942</v>
      </c>
      <c r="N499" s="5">
        <f>+M499*1.3</f>
        <v>14224.6</v>
      </c>
      <c r="O499" s="2">
        <f>+N499-M499</f>
        <v>3282.6000000000004</v>
      </c>
    </row>
    <row r="500" spans="1:15" x14ac:dyDescent="0.2">
      <c r="A500" t="s">
        <v>28</v>
      </c>
      <c r="B500">
        <v>3</v>
      </c>
      <c r="C500" t="s">
        <v>126</v>
      </c>
      <c r="D500" t="s">
        <v>130</v>
      </c>
      <c r="E500" t="s">
        <v>16</v>
      </c>
      <c r="F500" t="s">
        <v>16</v>
      </c>
      <c r="G500">
        <v>2</v>
      </c>
      <c r="H500" t="s">
        <v>652</v>
      </c>
      <c r="I500" t="s">
        <v>208</v>
      </c>
      <c r="J500" t="s">
        <v>180</v>
      </c>
      <c r="K500" t="s">
        <v>181</v>
      </c>
      <c r="L500">
        <v>24</v>
      </c>
      <c r="M500" s="5">
        <v>20200</v>
      </c>
      <c r="N500" s="5">
        <f>+M500*1.3</f>
        <v>26260</v>
      </c>
      <c r="O500" s="2">
        <f>+N500-M500</f>
        <v>6060</v>
      </c>
    </row>
    <row r="501" spans="1:15" x14ac:dyDescent="0.2">
      <c r="A501" t="s">
        <v>41</v>
      </c>
      <c r="B501">
        <v>3</v>
      </c>
      <c r="C501" t="s">
        <v>126</v>
      </c>
      <c r="D501" t="s">
        <v>610</v>
      </c>
      <c r="E501" t="s">
        <v>16</v>
      </c>
      <c r="F501" t="s">
        <v>16</v>
      </c>
      <c r="G501">
        <v>1</v>
      </c>
      <c r="H501" t="s">
        <v>653</v>
      </c>
      <c r="I501" t="s">
        <v>654</v>
      </c>
      <c r="J501" t="s">
        <v>180</v>
      </c>
      <c r="K501" t="s">
        <v>181</v>
      </c>
      <c r="L501">
        <v>12</v>
      </c>
      <c r="M501" s="5">
        <v>10158</v>
      </c>
      <c r="N501" s="5">
        <f>+M501*1.3</f>
        <v>13205.4</v>
      </c>
      <c r="O501" s="2">
        <f>+N501-M501</f>
        <v>3047.3999999999996</v>
      </c>
    </row>
    <row r="502" spans="1:15" x14ac:dyDescent="0.2">
      <c r="A502" t="s">
        <v>13</v>
      </c>
      <c r="B502">
        <v>1</v>
      </c>
      <c r="C502" t="s">
        <v>126</v>
      </c>
      <c r="D502" t="s">
        <v>127</v>
      </c>
      <c r="E502" t="s">
        <v>16</v>
      </c>
      <c r="F502" t="s">
        <v>16</v>
      </c>
      <c r="G502">
        <v>2</v>
      </c>
      <c r="H502" t="s">
        <v>655</v>
      </c>
      <c r="I502" t="s">
        <v>656</v>
      </c>
      <c r="J502" t="s">
        <v>657</v>
      </c>
      <c r="K502" t="s">
        <v>57</v>
      </c>
      <c r="L502">
        <v>1</v>
      </c>
      <c r="M502" s="5">
        <v>1068442</v>
      </c>
      <c r="N502" s="5">
        <f>+M502*1.3</f>
        <v>1388974.6</v>
      </c>
      <c r="O502" s="2">
        <f>+N502-M502</f>
        <v>320532.60000000009</v>
      </c>
    </row>
    <row r="503" spans="1:15" x14ac:dyDescent="0.2">
      <c r="A503" t="s">
        <v>21</v>
      </c>
      <c r="B503">
        <v>3</v>
      </c>
      <c r="C503" t="s">
        <v>126</v>
      </c>
      <c r="D503" t="s">
        <v>127</v>
      </c>
      <c r="E503" t="s">
        <v>16</v>
      </c>
      <c r="F503" t="s">
        <v>16</v>
      </c>
      <c r="G503">
        <v>2</v>
      </c>
      <c r="H503" t="s">
        <v>655</v>
      </c>
      <c r="I503" t="s">
        <v>656</v>
      </c>
      <c r="J503" t="s">
        <v>657</v>
      </c>
      <c r="K503" t="s">
        <v>57</v>
      </c>
      <c r="L503">
        <v>1</v>
      </c>
      <c r="M503" s="5">
        <v>1068442</v>
      </c>
      <c r="N503" s="5">
        <f>+M503*1.3</f>
        <v>1388974.6</v>
      </c>
      <c r="O503" s="2">
        <f>+N503-M503</f>
        <v>320532.60000000009</v>
      </c>
    </row>
    <row r="504" spans="1:15" x14ac:dyDescent="0.2">
      <c r="A504" t="s">
        <v>28</v>
      </c>
      <c r="B504">
        <v>1</v>
      </c>
      <c r="C504" t="s">
        <v>126</v>
      </c>
      <c r="D504" t="s">
        <v>127</v>
      </c>
      <c r="E504" t="s">
        <v>16</v>
      </c>
      <c r="F504" t="s">
        <v>16</v>
      </c>
      <c r="G504">
        <v>2</v>
      </c>
      <c r="H504" t="s">
        <v>655</v>
      </c>
      <c r="I504" t="s">
        <v>656</v>
      </c>
      <c r="J504" t="s">
        <v>657</v>
      </c>
      <c r="K504" t="s">
        <v>57</v>
      </c>
      <c r="L504">
        <v>1</v>
      </c>
      <c r="M504" s="5">
        <v>1068442</v>
      </c>
      <c r="N504" s="5">
        <f>+M504*1.3</f>
        <v>1388974.6</v>
      </c>
      <c r="O504" s="2">
        <f>+N504-M504</f>
        <v>320532.60000000009</v>
      </c>
    </row>
    <row r="505" spans="1:15" x14ac:dyDescent="0.2">
      <c r="A505" t="s">
        <v>28</v>
      </c>
      <c r="B505">
        <v>3</v>
      </c>
      <c r="C505" t="s">
        <v>126</v>
      </c>
      <c r="D505" t="s">
        <v>130</v>
      </c>
      <c r="E505" t="s">
        <v>16</v>
      </c>
      <c r="F505" t="s">
        <v>16</v>
      </c>
      <c r="G505">
        <v>1</v>
      </c>
      <c r="H505" t="s">
        <v>658</v>
      </c>
      <c r="I505" t="s">
        <v>659</v>
      </c>
      <c r="J505" t="s">
        <v>180</v>
      </c>
      <c r="K505" t="s">
        <v>181</v>
      </c>
      <c r="L505">
        <v>24</v>
      </c>
      <c r="M505" s="5">
        <v>17725</v>
      </c>
      <c r="N505" s="5">
        <f>+M505*1.3</f>
        <v>23042.5</v>
      </c>
      <c r="O505" s="2">
        <f>+N505-M505</f>
        <v>5317.5</v>
      </c>
    </row>
    <row r="506" spans="1:15" x14ac:dyDescent="0.2">
      <c r="A506" t="s">
        <v>13</v>
      </c>
      <c r="B506">
        <v>2</v>
      </c>
      <c r="C506" t="s">
        <v>22</v>
      </c>
      <c r="D506" t="s">
        <v>23</v>
      </c>
      <c r="E506" t="s">
        <v>16</v>
      </c>
      <c r="F506" t="s">
        <v>16</v>
      </c>
      <c r="G506">
        <v>1</v>
      </c>
      <c r="H506" t="s">
        <v>660</v>
      </c>
      <c r="I506" t="s">
        <v>661</v>
      </c>
      <c r="J506" t="s">
        <v>26</v>
      </c>
      <c r="K506" t="s">
        <v>27</v>
      </c>
      <c r="L506">
        <v>1</v>
      </c>
      <c r="M506" s="5">
        <v>1896</v>
      </c>
      <c r="N506" s="5">
        <f>+M506*1.3</f>
        <v>2464.8000000000002</v>
      </c>
      <c r="O506" s="2">
        <f>+N506-M506</f>
        <v>568.80000000000018</v>
      </c>
    </row>
    <row r="507" spans="1:15" x14ac:dyDescent="0.2">
      <c r="A507" t="s">
        <v>21</v>
      </c>
      <c r="B507">
        <v>1</v>
      </c>
      <c r="C507" t="s">
        <v>22</v>
      </c>
      <c r="D507" t="s">
        <v>23</v>
      </c>
      <c r="E507" t="s">
        <v>16</v>
      </c>
      <c r="F507" t="s">
        <v>16</v>
      </c>
      <c r="G507">
        <v>1</v>
      </c>
      <c r="H507" t="s">
        <v>660</v>
      </c>
      <c r="I507" t="s">
        <v>661</v>
      </c>
      <c r="J507" t="s">
        <v>26</v>
      </c>
      <c r="K507" t="s">
        <v>27</v>
      </c>
      <c r="L507">
        <v>1</v>
      </c>
      <c r="M507" s="5">
        <v>1896</v>
      </c>
      <c r="N507" s="5">
        <f>+M507*1.3</f>
        <v>2464.8000000000002</v>
      </c>
      <c r="O507" s="2">
        <f>+N507-M507</f>
        <v>568.80000000000018</v>
      </c>
    </row>
    <row r="508" spans="1:15" x14ac:dyDescent="0.2">
      <c r="A508" t="s">
        <v>28</v>
      </c>
      <c r="B508">
        <v>2</v>
      </c>
      <c r="C508" t="s">
        <v>22</v>
      </c>
      <c r="D508" t="s">
        <v>23</v>
      </c>
      <c r="E508" t="s">
        <v>16</v>
      </c>
      <c r="F508" t="s">
        <v>16</v>
      </c>
      <c r="G508">
        <v>1</v>
      </c>
      <c r="H508" t="s">
        <v>660</v>
      </c>
      <c r="I508" t="s">
        <v>661</v>
      </c>
      <c r="J508" t="s">
        <v>26</v>
      </c>
      <c r="K508" t="s">
        <v>27</v>
      </c>
      <c r="L508">
        <v>1</v>
      </c>
      <c r="M508" s="5">
        <v>1896</v>
      </c>
      <c r="N508" s="5">
        <f>+M508*1.3</f>
        <v>2464.8000000000002</v>
      </c>
      <c r="O508" s="2">
        <f>+N508-M508</f>
        <v>568.80000000000018</v>
      </c>
    </row>
    <row r="509" spans="1:15" x14ac:dyDescent="0.2">
      <c r="A509" t="s">
        <v>45</v>
      </c>
      <c r="B509">
        <v>3</v>
      </c>
      <c r="C509" t="s">
        <v>22</v>
      </c>
      <c r="D509" t="s">
        <v>214</v>
      </c>
      <c r="E509" t="s">
        <v>16</v>
      </c>
      <c r="F509" t="s">
        <v>16</v>
      </c>
      <c r="G509">
        <v>1</v>
      </c>
      <c r="H509" t="s">
        <v>662</v>
      </c>
      <c r="I509" t="s">
        <v>663</v>
      </c>
      <c r="J509" t="s">
        <v>53</v>
      </c>
      <c r="K509" t="s">
        <v>40</v>
      </c>
      <c r="L509">
        <v>1</v>
      </c>
      <c r="M509" s="5">
        <v>572</v>
      </c>
      <c r="N509" s="5">
        <f>+M509*1.3</f>
        <v>743.6</v>
      </c>
      <c r="O509" s="2">
        <f>+N509-M509</f>
        <v>171.60000000000002</v>
      </c>
    </row>
    <row r="510" spans="1:15" x14ac:dyDescent="0.2">
      <c r="A510" t="s">
        <v>41</v>
      </c>
      <c r="B510">
        <v>3</v>
      </c>
      <c r="C510" t="s">
        <v>22</v>
      </c>
      <c r="D510" t="s">
        <v>214</v>
      </c>
      <c r="E510" t="s">
        <v>16</v>
      </c>
      <c r="F510" t="s">
        <v>16</v>
      </c>
      <c r="G510">
        <v>1</v>
      </c>
      <c r="H510" t="s">
        <v>662</v>
      </c>
      <c r="I510" t="s">
        <v>663</v>
      </c>
      <c r="J510" t="s">
        <v>53</v>
      </c>
      <c r="K510" t="s">
        <v>40</v>
      </c>
      <c r="L510">
        <v>1</v>
      </c>
      <c r="M510" s="5">
        <v>572</v>
      </c>
      <c r="N510" s="5">
        <f>+M510*1.3</f>
        <v>743.6</v>
      </c>
      <c r="O510" s="2">
        <f>+N510-M510</f>
        <v>171.60000000000002</v>
      </c>
    </row>
    <row r="511" spans="1:15" x14ac:dyDescent="0.2">
      <c r="A511" t="s">
        <v>13</v>
      </c>
      <c r="B511">
        <v>1</v>
      </c>
      <c r="C511" t="s">
        <v>126</v>
      </c>
      <c r="D511" t="s">
        <v>127</v>
      </c>
      <c r="E511" t="s">
        <v>16</v>
      </c>
      <c r="F511" t="s">
        <v>16</v>
      </c>
      <c r="G511">
        <v>2</v>
      </c>
      <c r="H511" t="s">
        <v>664</v>
      </c>
      <c r="I511" t="s">
        <v>656</v>
      </c>
      <c r="J511" t="s">
        <v>657</v>
      </c>
      <c r="K511" t="s">
        <v>57</v>
      </c>
      <c r="L511">
        <v>1</v>
      </c>
      <c r="M511" s="5">
        <v>1068442</v>
      </c>
      <c r="N511" s="5">
        <f>+M511*1.3</f>
        <v>1388974.6</v>
      </c>
      <c r="O511" s="2">
        <f>+N511-M511</f>
        <v>320532.60000000009</v>
      </c>
    </row>
    <row r="512" spans="1:15" x14ac:dyDescent="0.2">
      <c r="A512" t="s">
        <v>21</v>
      </c>
      <c r="B512">
        <v>3</v>
      </c>
      <c r="C512" t="s">
        <v>126</v>
      </c>
      <c r="D512" t="s">
        <v>127</v>
      </c>
      <c r="E512" t="s">
        <v>16</v>
      </c>
      <c r="F512" t="s">
        <v>16</v>
      </c>
      <c r="G512">
        <v>2</v>
      </c>
      <c r="H512" t="s">
        <v>664</v>
      </c>
      <c r="I512" t="s">
        <v>656</v>
      </c>
      <c r="J512" t="s">
        <v>657</v>
      </c>
      <c r="K512" t="s">
        <v>57</v>
      </c>
      <c r="L512">
        <v>1</v>
      </c>
      <c r="M512" s="5">
        <v>1068442</v>
      </c>
      <c r="N512" s="5">
        <f>+M512*1.3</f>
        <v>1388974.6</v>
      </c>
      <c r="O512" s="2">
        <f>+N512-M512</f>
        <v>320532.60000000009</v>
      </c>
    </row>
    <row r="513" spans="1:15" x14ac:dyDescent="0.2">
      <c r="A513" t="s">
        <v>28</v>
      </c>
      <c r="B513">
        <v>1</v>
      </c>
      <c r="C513" t="s">
        <v>126</v>
      </c>
      <c r="D513" t="s">
        <v>127</v>
      </c>
      <c r="E513" t="s">
        <v>16</v>
      </c>
      <c r="F513" t="s">
        <v>16</v>
      </c>
      <c r="G513">
        <v>2</v>
      </c>
      <c r="H513" t="s">
        <v>664</v>
      </c>
      <c r="I513" t="s">
        <v>656</v>
      </c>
      <c r="J513" t="s">
        <v>657</v>
      </c>
      <c r="K513" t="s">
        <v>57</v>
      </c>
      <c r="L513">
        <v>1</v>
      </c>
      <c r="M513" s="5">
        <v>1068442</v>
      </c>
      <c r="N513" s="5">
        <f>+M513*1.3</f>
        <v>1388974.6</v>
      </c>
      <c r="O513" s="2">
        <f>+N513-M513</f>
        <v>320532.60000000009</v>
      </c>
    </row>
    <row r="514" spans="1:15" x14ac:dyDescent="0.2">
      <c r="A514" t="s">
        <v>13</v>
      </c>
      <c r="B514">
        <v>2</v>
      </c>
      <c r="C514" t="s">
        <v>22</v>
      </c>
      <c r="D514" t="s">
        <v>42</v>
      </c>
      <c r="E514" t="s">
        <v>16</v>
      </c>
      <c r="F514" t="s">
        <v>16</v>
      </c>
      <c r="G514">
        <v>1</v>
      </c>
      <c r="H514" t="s">
        <v>665</v>
      </c>
      <c r="I514" t="s">
        <v>666</v>
      </c>
      <c r="J514" t="s">
        <v>26</v>
      </c>
      <c r="K514" t="s">
        <v>27</v>
      </c>
      <c r="L514">
        <v>1</v>
      </c>
      <c r="M514" s="5">
        <v>1714</v>
      </c>
      <c r="N514" s="5">
        <f>+M514*1.3</f>
        <v>2228.2000000000003</v>
      </c>
      <c r="O514" s="2">
        <f>+N514-M514</f>
        <v>514.20000000000027</v>
      </c>
    </row>
    <row r="515" spans="1:15" x14ac:dyDescent="0.2">
      <c r="A515" t="s">
        <v>35</v>
      </c>
      <c r="B515">
        <v>2</v>
      </c>
      <c r="C515" t="s">
        <v>22</v>
      </c>
      <c r="D515" t="s">
        <v>42</v>
      </c>
      <c r="E515" t="s">
        <v>16</v>
      </c>
      <c r="F515" t="s">
        <v>16</v>
      </c>
      <c r="G515">
        <v>1</v>
      </c>
      <c r="H515" t="s">
        <v>665</v>
      </c>
      <c r="I515" t="s">
        <v>666</v>
      </c>
      <c r="J515" t="s">
        <v>26</v>
      </c>
      <c r="K515" t="s">
        <v>27</v>
      </c>
      <c r="L515">
        <v>1</v>
      </c>
      <c r="M515" s="5">
        <v>1714</v>
      </c>
      <c r="N515" s="5">
        <f>+M515*1.3</f>
        <v>2228.2000000000003</v>
      </c>
      <c r="O515" s="2">
        <f>+N515-M515</f>
        <v>514.20000000000027</v>
      </c>
    </row>
    <row r="516" spans="1:15" x14ac:dyDescent="0.2">
      <c r="A516" t="s">
        <v>21</v>
      </c>
      <c r="B516">
        <v>1</v>
      </c>
      <c r="C516" t="s">
        <v>22</v>
      </c>
      <c r="D516" t="s">
        <v>42</v>
      </c>
      <c r="E516" t="s">
        <v>16</v>
      </c>
      <c r="F516" t="s">
        <v>16</v>
      </c>
      <c r="G516">
        <v>1</v>
      </c>
      <c r="H516" t="s">
        <v>665</v>
      </c>
      <c r="I516" t="s">
        <v>666</v>
      </c>
      <c r="J516" t="s">
        <v>26</v>
      </c>
      <c r="K516" t="s">
        <v>27</v>
      </c>
      <c r="L516">
        <v>1</v>
      </c>
      <c r="M516" s="5">
        <v>1714</v>
      </c>
      <c r="N516" s="5">
        <f>+M516*1.3</f>
        <v>2228.2000000000003</v>
      </c>
      <c r="O516" s="2">
        <f>+N516-M516</f>
        <v>514.20000000000027</v>
      </c>
    </row>
    <row r="517" spans="1:15" x14ac:dyDescent="0.2">
      <c r="A517" t="s">
        <v>28</v>
      </c>
      <c r="B517">
        <v>2</v>
      </c>
      <c r="C517" t="s">
        <v>22</v>
      </c>
      <c r="D517" t="s">
        <v>42</v>
      </c>
      <c r="E517" t="s">
        <v>16</v>
      </c>
      <c r="F517" t="s">
        <v>16</v>
      </c>
      <c r="G517">
        <v>1</v>
      </c>
      <c r="H517" t="s">
        <v>665</v>
      </c>
      <c r="I517" t="s">
        <v>666</v>
      </c>
      <c r="J517" t="s">
        <v>26</v>
      </c>
      <c r="K517" t="s">
        <v>27</v>
      </c>
      <c r="L517">
        <v>1</v>
      </c>
      <c r="M517" s="5">
        <v>1714</v>
      </c>
      <c r="N517" s="5">
        <f>+M517*1.3</f>
        <v>2228.2000000000003</v>
      </c>
      <c r="O517" s="2">
        <f>+N517-M517</f>
        <v>514.20000000000027</v>
      </c>
    </row>
    <row r="518" spans="1:15" x14ac:dyDescent="0.2">
      <c r="A518" t="s">
        <v>13</v>
      </c>
      <c r="B518">
        <v>1</v>
      </c>
      <c r="C518" t="s">
        <v>22</v>
      </c>
      <c r="D518" t="s">
        <v>42</v>
      </c>
      <c r="E518" t="s">
        <v>16</v>
      </c>
      <c r="F518" t="s">
        <v>16</v>
      </c>
      <c r="G518">
        <v>1</v>
      </c>
      <c r="H518" t="s">
        <v>667</v>
      </c>
      <c r="I518" t="s">
        <v>668</v>
      </c>
      <c r="J518" t="s">
        <v>53</v>
      </c>
      <c r="K518" t="s">
        <v>40</v>
      </c>
      <c r="L518">
        <v>1</v>
      </c>
      <c r="M518" s="5">
        <v>572</v>
      </c>
      <c r="N518" s="5">
        <f>+M518*1.3</f>
        <v>743.6</v>
      </c>
      <c r="O518" s="2">
        <f>+N518-M518</f>
        <v>171.60000000000002</v>
      </c>
    </row>
    <row r="519" spans="1:15" x14ac:dyDescent="0.2">
      <c r="A519" t="s">
        <v>35</v>
      </c>
      <c r="B519">
        <v>3</v>
      </c>
      <c r="C519" t="s">
        <v>22</v>
      </c>
      <c r="D519" t="s">
        <v>42</v>
      </c>
      <c r="E519" t="s">
        <v>16</v>
      </c>
      <c r="F519" t="s">
        <v>16</v>
      </c>
      <c r="G519">
        <v>1</v>
      </c>
      <c r="H519" t="s">
        <v>667</v>
      </c>
      <c r="I519" t="s">
        <v>668</v>
      </c>
      <c r="J519" t="s">
        <v>53</v>
      </c>
      <c r="K519" t="s">
        <v>40</v>
      </c>
      <c r="L519">
        <v>1</v>
      </c>
      <c r="M519" s="5">
        <v>572</v>
      </c>
      <c r="N519" s="5">
        <f>+M519*1.3</f>
        <v>743.6</v>
      </c>
      <c r="O519" s="2">
        <f>+N519-M519</f>
        <v>171.60000000000002</v>
      </c>
    </row>
    <row r="520" spans="1:15" x14ac:dyDescent="0.2">
      <c r="A520" t="s">
        <v>21</v>
      </c>
      <c r="B520">
        <v>1</v>
      </c>
      <c r="C520" t="s">
        <v>22</v>
      </c>
      <c r="D520" t="s">
        <v>42</v>
      </c>
      <c r="E520" t="s">
        <v>16</v>
      </c>
      <c r="F520" t="s">
        <v>16</v>
      </c>
      <c r="G520">
        <v>1</v>
      </c>
      <c r="H520" t="s">
        <v>667</v>
      </c>
      <c r="I520" t="s">
        <v>668</v>
      </c>
      <c r="J520" t="s">
        <v>53</v>
      </c>
      <c r="K520" t="s">
        <v>40</v>
      </c>
      <c r="L520">
        <v>1</v>
      </c>
      <c r="M520" s="5">
        <v>572</v>
      </c>
      <c r="N520" s="5">
        <f>+M520*1.3</f>
        <v>743.6</v>
      </c>
      <c r="O520" s="2">
        <f>+N520-M520</f>
        <v>171.60000000000002</v>
      </c>
    </row>
    <row r="521" spans="1:15" x14ac:dyDescent="0.2">
      <c r="A521" t="s">
        <v>28</v>
      </c>
      <c r="B521">
        <v>3</v>
      </c>
      <c r="C521" t="s">
        <v>22</v>
      </c>
      <c r="D521" t="s">
        <v>42</v>
      </c>
      <c r="E521" t="s">
        <v>16</v>
      </c>
      <c r="F521" t="s">
        <v>16</v>
      </c>
      <c r="G521">
        <v>1</v>
      </c>
      <c r="H521" t="s">
        <v>667</v>
      </c>
      <c r="I521" t="s">
        <v>668</v>
      </c>
      <c r="J521" t="s">
        <v>53</v>
      </c>
      <c r="K521" t="s">
        <v>40</v>
      </c>
      <c r="L521">
        <v>1</v>
      </c>
      <c r="M521" s="5">
        <v>572</v>
      </c>
      <c r="N521" s="5">
        <f>+M521*1.3</f>
        <v>743.6</v>
      </c>
      <c r="O521" s="2">
        <f>+N521-M521</f>
        <v>171.60000000000002</v>
      </c>
    </row>
    <row r="522" spans="1:15" x14ac:dyDescent="0.2">
      <c r="A522" t="s">
        <v>13</v>
      </c>
      <c r="B522">
        <v>2</v>
      </c>
      <c r="C522" t="s">
        <v>22</v>
      </c>
      <c r="D522" t="s">
        <v>23</v>
      </c>
      <c r="E522" t="s">
        <v>16</v>
      </c>
      <c r="F522" t="s">
        <v>16</v>
      </c>
      <c r="G522">
        <v>3</v>
      </c>
      <c r="H522" t="s">
        <v>669</v>
      </c>
      <c r="I522" t="s">
        <v>670</v>
      </c>
      <c r="J522" t="s">
        <v>66</v>
      </c>
      <c r="K522" t="s">
        <v>27</v>
      </c>
      <c r="L522">
        <v>1</v>
      </c>
      <c r="M522" s="5">
        <v>5416</v>
      </c>
      <c r="N522" s="5">
        <f>+M522*1.3</f>
        <v>7040.8</v>
      </c>
      <c r="O522" s="2">
        <f>+N522-M522</f>
        <v>1624.8000000000002</v>
      </c>
    </row>
    <row r="523" spans="1:15" x14ac:dyDescent="0.2">
      <c r="A523" t="s">
        <v>21</v>
      </c>
      <c r="B523">
        <v>1</v>
      </c>
      <c r="C523" t="s">
        <v>22</v>
      </c>
      <c r="D523" t="s">
        <v>23</v>
      </c>
      <c r="E523" t="s">
        <v>16</v>
      </c>
      <c r="F523" t="s">
        <v>16</v>
      </c>
      <c r="G523">
        <v>3</v>
      </c>
      <c r="H523" t="s">
        <v>669</v>
      </c>
      <c r="I523" t="s">
        <v>670</v>
      </c>
      <c r="J523" t="s">
        <v>66</v>
      </c>
      <c r="K523" t="s">
        <v>27</v>
      </c>
      <c r="L523">
        <v>1</v>
      </c>
      <c r="M523" s="5">
        <v>5416</v>
      </c>
      <c r="N523" s="5">
        <f>+M523*1.3</f>
        <v>7040.8</v>
      </c>
      <c r="O523" s="2">
        <f>+N523-M523</f>
        <v>1624.8000000000002</v>
      </c>
    </row>
    <row r="524" spans="1:15" x14ac:dyDescent="0.2">
      <c r="A524" t="s">
        <v>28</v>
      </c>
      <c r="B524">
        <v>2</v>
      </c>
      <c r="C524" t="s">
        <v>22</v>
      </c>
      <c r="D524" t="s">
        <v>23</v>
      </c>
      <c r="E524" t="s">
        <v>16</v>
      </c>
      <c r="F524" t="s">
        <v>16</v>
      </c>
      <c r="G524">
        <v>3</v>
      </c>
      <c r="H524" t="s">
        <v>669</v>
      </c>
      <c r="I524" t="s">
        <v>670</v>
      </c>
      <c r="J524" t="s">
        <v>66</v>
      </c>
      <c r="K524" t="s">
        <v>27</v>
      </c>
      <c r="L524">
        <v>1</v>
      </c>
      <c r="M524" s="5">
        <v>5416</v>
      </c>
      <c r="N524" s="5">
        <f>+M524*1.3</f>
        <v>7040.8</v>
      </c>
      <c r="O524" s="2">
        <f>+N524-M524</f>
        <v>1624.8000000000002</v>
      </c>
    </row>
    <row r="525" spans="1:15" x14ac:dyDescent="0.2">
      <c r="A525" t="s">
        <v>13</v>
      </c>
      <c r="B525">
        <v>2</v>
      </c>
      <c r="C525" t="s">
        <v>22</v>
      </c>
      <c r="D525" t="s">
        <v>42</v>
      </c>
      <c r="E525" t="s">
        <v>16</v>
      </c>
      <c r="F525" t="s">
        <v>16</v>
      </c>
      <c r="G525">
        <v>3</v>
      </c>
      <c r="H525" t="s">
        <v>671</v>
      </c>
      <c r="I525" t="s">
        <v>672</v>
      </c>
      <c r="J525" t="s">
        <v>32</v>
      </c>
      <c r="K525" t="s">
        <v>27</v>
      </c>
      <c r="L525">
        <v>1</v>
      </c>
      <c r="M525" s="5">
        <v>6754</v>
      </c>
      <c r="N525" s="5">
        <f>+M525*1.3</f>
        <v>8780.2000000000007</v>
      </c>
      <c r="O525" s="2">
        <f>+N525-M525</f>
        <v>2026.2000000000007</v>
      </c>
    </row>
    <row r="526" spans="1:15" x14ac:dyDescent="0.2">
      <c r="A526" t="s">
        <v>35</v>
      </c>
      <c r="B526">
        <v>2</v>
      </c>
      <c r="C526" t="s">
        <v>22</v>
      </c>
      <c r="D526" t="s">
        <v>42</v>
      </c>
      <c r="E526" t="s">
        <v>16</v>
      </c>
      <c r="F526" t="s">
        <v>16</v>
      </c>
      <c r="G526">
        <v>3</v>
      </c>
      <c r="H526" t="s">
        <v>671</v>
      </c>
      <c r="I526" t="s">
        <v>672</v>
      </c>
      <c r="J526" t="s">
        <v>32</v>
      </c>
      <c r="K526" t="s">
        <v>27</v>
      </c>
      <c r="L526">
        <v>1</v>
      </c>
      <c r="M526" s="5">
        <v>6754</v>
      </c>
      <c r="N526" s="5">
        <f>+M526*1.3</f>
        <v>8780.2000000000007</v>
      </c>
      <c r="O526" s="2">
        <f>+N526-M526</f>
        <v>2026.2000000000007</v>
      </c>
    </row>
    <row r="527" spans="1:15" x14ac:dyDescent="0.2">
      <c r="A527" t="s">
        <v>21</v>
      </c>
      <c r="B527">
        <v>1</v>
      </c>
      <c r="C527" t="s">
        <v>22</v>
      </c>
      <c r="D527" t="s">
        <v>42</v>
      </c>
      <c r="E527" t="s">
        <v>16</v>
      </c>
      <c r="F527" t="s">
        <v>16</v>
      </c>
      <c r="G527">
        <v>3</v>
      </c>
      <c r="H527" t="s">
        <v>671</v>
      </c>
      <c r="I527" t="s">
        <v>672</v>
      </c>
      <c r="J527" t="s">
        <v>32</v>
      </c>
      <c r="K527" t="s">
        <v>27</v>
      </c>
      <c r="L527">
        <v>1</v>
      </c>
      <c r="M527" s="5">
        <v>6754</v>
      </c>
      <c r="N527" s="5">
        <f>+M527*1.3</f>
        <v>8780.2000000000007</v>
      </c>
      <c r="O527" s="2">
        <f>+N527-M527</f>
        <v>2026.2000000000007</v>
      </c>
    </row>
    <row r="528" spans="1:15" x14ac:dyDescent="0.2">
      <c r="A528" t="s">
        <v>28</v>
      </c>
      <c r="B528">
        <v>2</v>
      </c>
      <c r="C528" t="s">
        <v>22</v>
      </c>
      <c r="D528" t="s">
        <v>42</v>
      </c>
      <c r="E528" t="s">
        <v>16</v>
      </c>
      <c r="F528" t="s">
        <v>16</v>
      </c>
      <c r="G528">
        <v>3</v>
      </c>
      <c r="H528" t="s">
        <v>671</v>
      </c>
      <c r="I528" t="s">
        <v>672</v>
      </c>
      <c r="J528" t="s">
        <v>32</v>
      </c>
      <c r="K528" t="s">
        <v>27</v>
      </c>
      <c r="L528">
        <v>1</v>
      </c>
      <c r="M528" s="5">
        <v>6754</v>
      </c>
      <c r="N528" s="5">
        <f>+M528*1.3</f>
        <v>8780.2000000000007</v>
      </c>
      <c r="O528" s="2">
        <f>+N528-M528</f>
        <v>2026.2000000000007</v>
      </c>
    </row>
    <row r="529" spans="1:15" x14ac:dyDescent="0.2">
      <c r="A529" t="s">
        <v>13</v>
      </c>
      <c r="B529">
        <v>2</v>
      </c>
      <c r="C529" t="s">
        <v>22</v>
      </c>
      <c r="D529" t="s">
        <v>42</v>
      </c>
      <c r="E529" t="s">
        <v>16</v>
      </c>
      <c r="F529" t="s">
        <v>16</v>
      </c>
      <c r="G529">
        <v>6</v>
      </c>
      <c r="H529" t="s">
        <v>673</v>
      </c>
      <c r="I529" t="s">
        <v>674</v>
      </c>
      <c r="J529" t="s">
        <v>19</v>
      </c>
      <c r="K529" t="s">
        <v>27</v>
      </c>
      <c r="L529">
        <v>1</v>
      </c>
      <c r="M529" s="5">
        <v>1636</v>
      </c>
      <c r="N529" s="5">
        <f>+M529*1.3</f>
        <v>2126.8000000000002</v>
      </c>
      <c r="O529" s="2">
        <f>+N529-M529</f>
        <v>490.80000000000018</v>
      </c>
    </row>
    <row r="530" spans="1:15" x14ac:dyDescent="0.2">
      <c r="A530" t="s">
        <v>35</v>
      </c>
      <c r="B530">
        <v>2</v>
      </c>
      <c r="C530" t="s">
        <v>22</v>
      </c>
      <c r="D530" t="s">
        <v>42</v>
      </c>
      <c r="E530" t="s">
        <v>16</v>
      </c>
      <c r="F530" t="s">
        <v>16</v>
      </c>
      <c r="G530">
        <v>6</v>
      </c>
      <c r="H530" t="s">
        <v>673</v>
      </c>
      <c r="I530" t="s">
        <v>674</v>
      </c>
      <c r="J530" t="s">
        <v>19</v>
      </c>
      <c r="K530" t="s">
        <v>27</v>
      </c>
      <c r="L530">
        <v>1</v>
      </c>
      <c r="M530" s="5">
        <v>1636</v>
      </c>
      <c r="N530" s="5">
        <f>+M530*1.3</f>
        <v>2126.8000000000002</v>
      </c>
      <c r="O530" s="2">
        <f>+N530-M530</f>
        <v>490.80000000000018</v>
      </c>
    </row>
    <row r="531" spans="1:15" x14ac:dyDescent="0.2">
      <c r="A531" t="s">
        <v>21</v>
      </c>
      <c r="B531">
        <v>1</v>
      </c>
      <c r="C531" t="s">
        <v>22</v>
      </c>
      <c r="D531" t="s">
        <v>42</v>
      </c>
      <c r="E531" t="s">
        <v>16</v>
      </c>
      <c r="F531" t="s">
        <v>16</v>
      </c>
      <c r="G531">
        <v>6</v>
      </c>
      <c r="H531" t="s">
        <v>673</v>
      </c>
      <c r="I531" t="s">
        <v>674</v>
      </c>
      <c r="J531" t="s">
        <v>19</v>
      </c>
      <c r="K531" t="s">
        <v>27</v>
      </c>
      <c r="L531">
        <v>1</v>
      </c>
      <c r="M531" s="5">
        <v>1636</v>
      </c>
      <c r="N531" s="5">
        <f>+M531*1.3</f>
        <v>2126.8000000000002</v>
      </c>
      <c r="O531" s="2">
        <f>+N531-M531</f>
        <v>490.80000000000018</v>
      </c>
    </row>
    <row r="532" spans="1:15" x14ac:dyDescent="0.2">
      <c r="A532" t="s">
        <v>28</v>
      </c>
      <c r="B532">
        <v>2</v>
      </c>
      <c r="C532" t="s">
        <v>22</v>
      </c>
      <c r="D532" t="s">
        <v>42</v>
      </c>
      <c r="E532" t="s">
        <v>16</v>
      </c>
      <c r="F532" t="s">
        <v>16</v>
      </c>
      <c r="G532">
        <v>6</v>
      </c>
      <c r="H532" t="s">
        <v>673</v>
      </c>
      <c r="I532" t="s">
        <v>674</v>
      </c>
      <c r="J532" t="s">
        <v>19</v>
      </c>
      <c r="K532" t="s">
        <v>27</v>
      </c>
      <c r="L532">
        <v>1</v>
      </c>
      <c r="M532" s="5">
        <v>1636</v>
      </c>
      <c r="N532" s="5">
        <f>+M532*1.3</f>
        <v>2126.8000000000002</v>
      </c>
      <c r="O532" s="2">
        <f>+N532-M532</f>
        <v>490.80000000000018</v>
      </c>
    </row>
    <row r="533" spans="1:15" x14ac:dyDescent="0.2">
      <c r="A533" t="s">
        <v>13</v>
      </c>
      <c r="B533">
        <v>1</v>
      </c>
      <c r="C533" t="s">
        <v>22</v>
      </c>
      <c r="D533" t="s">
        <v>23</v>
      </c>
      <c r="E533" t="s">
        <v>16</v>
      </c>
      <c r="F533" t="s">
        <v>16</v>
      </c>
      <c r="G533">
        <v>1</v>
      </c>
      <c r="H533" t="s">
        <v>675</v>
      </c>
      <c r="I533" t="s">
        <v>676</v>
      </c>
      <c r="J533" t="s">
        <v>53</v>
      </c>
      <c r="K533" t="s">
        <v>40</v>
      </c>
      <c r="L533">
        <v>1</v>
      </c>
      <c r="M533" s="5">
        <v>2754</v>
      </c>
      <c r="N533" s="5">
        <f>+M533*1.3</f>
        <v>3580.2000000000003</v>
      </c>
      <c r="O533" s="2">
        <f>+N533-M533</f>
        <v>826.20000000000027</v>
      </c>
    </row>
    <row r="534" spans="1:15" x14ac:dyDescent="0.2">
      <c r="A534" t="s">
        <v>21</v>
      </c>
      <c r="B534">
        <v>1</v>
      </c>
      <c r="C534" t="s">
        <v>22</v>
      </c>
      <c r="D534" t="s">
        <v>23</v>
      </c>
      <c r="E534" t="s">
        <v>16</v>
      </c>
      <c r="F534" t="s">
        <v>16</v>
      </c>
      <c r="G534">
        <v>1</v>
      </c>
      <c r="H534" t="s">
        <v>675</v>
      </c>
      <c r="I534" t="s">
        <v>676</v>
      </c>
      <c r="J534" t="s">
        <v>53</v>
      </c>
      <c r="K534" t="s">
        <v>40</v>
      </c>
      <c r="L534">
        <v>1</v>
      </c>
      <c r="M534" s="5">
        <v>2754</v>
      </c>
      <c r="N534" s="5">
        <f>+M534*1.3</f>
        <v>3580.2000000000003</v>
      </c>
      <c r="O534" s="2">
        <f>+N534-M534</f>
        <v>826.20000000000027</v>
      </c>
    </row>
    <row r="535" spans="1:15" x14ac:dyDescent="0.2">
      <c r="A535" t="s">
        <v>28</v>
      </c>
      <c r="B535">
        <v>3</v>
      </c>
      <c r="C535" t="s">
        <v>22</v>
      </c>
      <c r="D535" t="s">
        <v>23</v>
      </c>
      <c r="E535" t="s">
        <v>16</v>
      </c>
      <c r="F535" t="s">
        <v>16</v>
      </c>
      <c r="G535">
        <v>1</v>
      </c>
      <c r="H535" t="s">
        <v>675</v>
      </c>
      <c r="I535" t="s">
        <v>676</v>
      </c>
      <c r="J535" t="s">
        <v>53</v>
      </c>
      <c r="K535" t="s">
        <v>40</v>
      </c>
      <c r="L535">
        <v>1</v>
      </c>
      <c r="M535" s="5">
        <v>2754</v>
      </c>
      <c r="N535" s="5">
        <f>+M535*1.3</f>
        <v>3580.2000000000003</v>
      </c>
      <c r="O535" s="2">
        <f>+N535-M535</f>
        <v>826.20000000000027</v>
      </c>
    </row>
    <row r="536" spans="1:15" x14ac:dyDescent="0.2">
      <c r="A536" t="s">
        <v>45</v>
      </c>
      <c r="B536">
        <v>3</v>
      </c>
      <c r="C536" t="s">
        <v>22</v>
      </c>
      <c r="D536" t="s">
        <v>214</v>
      </c>
      <c r="E536" t="s">
        <v>16</v>
      </c>
      <c r="F536" t="s">
        <v>16</v>
      </c>
      <c r="G536">
        <v>1</v>
      </c>
      <c r="H536" t="s">
        <v>677</v>
      </c>
      <c r="I536" t="s">
        <v>678</v>
      </c>
      <c r="J536" t="s">
        <v>53</v>
      </c>
      <c r="K536" t="s">
        <v>40</v>
      </c>
      <c r="L536">
        <v>12</v>
      </c>
      <c r="M536" s="5">
        <v>6866</v>
      </c>
      <c r="N536" s="5">
        <f>+M536*1.3</f>
        <v>8925.8000000000011</v>
      </c>
      <c r="O536" s="2">
        <f>+N536-M536</f>
        <v>2059.8000000000011</v>
      </c>
    </row>
    <row r="537" spans="1:15" x14ac:dyDescent="0.2">
      <c r="A537" t="s">
        <v>41</v>
      </c>
      <c r="B537">
        <v>3</v>
      </c>
      <c r="C537" t="s">
        <v>22</v>
      </c>
      <c r="D537" t="s">
        <v>214</v>
      </c>
      <c r="E537" t="s">
        <v>16</v>
      </c>
      <c r="F537" t="s">
        <v>16</v>
      </c>
      <c r="G537">
        <v>1</v>
      </c>
      <c r="H537" t="s">
        <v>677</v>
      </c>
      <c r="I537" t="s">
        <v>678</v>
      </c>
      <c r="J537" t="s">
        <v>53</v>
      </c>
      <c r="K537" t="s">
        <v>40</v>
      </c>
      <c r="L537">
        <v>12</v>
      </c>
      <c r="M537" s="5">
        <v>6866</v>
      </c>
      <c r="N537" s="5">
        <f>+M537*1.3</f>
        <v>8925.8000000000011</v>
      </c>
      <c r="O537" s="2">
        <f>+N537-M537</f>
        <v>2059.8000000000011</v>
      </c>
    </row>
    <row r="538" spans="1:15" x14ac:dyDescent="0.2">
      <c r="A538" t="s">
        <v>13</v>
      </c>
      <c r="B538">
        <v>2</v>
      </c>
      <c r="C538" t="s">
        <v>22</v>
      </c>
      <c r="D538" t="s">
        <v>23</v>
      </c>
      <c r="E538" t="s">
        <v>16</v>
      </c>
      <c r="F538" t="s">
        <v>16</v>
      </c>
      <c r="G538">
        <v>7</v>
      </c>
      <c r="H538" t="s">
        <v>679</v>
      </c>
      <c r="I538" t="s">
        <v>680</v>
      </c>
      <c r="J538" t="s">
        <v>66</v>
      </c>
      <c r="K538" t="s">
        <v>27</v>
      </c>
      <c r="L538">
        <v>1</v>
      </c>
      <c r="M538" s="5">
        <v>10359</v>
      </c>
      <c r="N538" s="5">
        <f>+M538*1.3</f>
        <v>13466.7</v>
      </c>
      <c r="O538" s="2">
        <f>+N538-M538</f>
        <v>3107.7000000000007</v>
      </c>
    </row>
    <row r="539" spans="1:15" x14ac:dyDescent="0.2">
      <c r="A539" t="s">
        <v>21</v>
      </c>
      <c r="B539">
        <v>1</v>
      </c>
      <c r="C539" t="s">
        <v>22</v>
      </c>
      <c r="D539" t="s">
        <v>23</v>
      </c>
      <c r="E539" t="s">
        <v>16</v>
      </c>
      <c r="F539" t="s">
        <v>16</v>
      </c>
      <c r="G539">
        <v>7</v>
      </c>
      <c r="H539" t="s">
        <v>679</v>
      </c>
      <c r="I539" t="s">
        <v>680</v>
      </c>
      <c r="J539" t="s">
        <v>66</v>
      </c>
      <c r="K539" t="s">
        <v>27</v>
      </c>
      <c r="L539">
        <v>1</v>
      </c>
      <c r="M539" s="5">
        <v>10359</v>
      </c>
      <c r="N539" s="5">
        <f>+M539*1.3</f>
        <v>13466.7</v>
      </c>
      <c r="O539" s="2">
        <f>+N539-M539</f>
        <v>3107.7000000000007</v>
      </c>
    </row>
    <row r="540" spans="1:15" x14ac:dyDescent="0.2">
      <c r="A540" t="s">
        <v>28</v>
      </c>
      <c r="B540">
        <v>2</v>
      </c>
      <c r="C540" t="s">
        <v>22</v>
      </c>
      <c r="D540" t="s">
        <v>23</v>
      </c>
      <c r="E540" t="s">
        <v>16</v>
      </c>
      <c r="F540" t="s">
        <v>16</v>
      </c>
      <c r="G540">
        <v>7</v>
      </c>
      <c r="H540" t="s">
        <v>679</v>
      </c>
      <c r="I540" t="s">
        <v>680</v>
      </c>
      <c r="J540" t="s">
        <v>66</v>
      </c>
      <c r="K540" t="s">
        <v>27</v>
      </c>
      <c r="L540">
        <v>1</v>
      </c>
      <c r="M540" s="5">
        <v>10359</v>
      </c>
      <c r="N540" s="5">
        <f>+M540*1.3</f>
        <v>13466.7</v>
      </c>
      <c r="O540" s="2">
        <f>+N540-M540</f>
        <v>3107.7000000000007</v>
      </c>
    </row>
    <row r="541" spans="1:15" x14ac:dyDescent="0.2">
      <c r="A541" t="s">
        <v>13</v>
      </c>
      <c r="B541">
        <v>1</v>
      </c>
      <c r="C541" t="s">
        <v>22</v>
      </c>
      <c r="D541" t="s">
        <v>42</v>
      </c>
      <c r="E541" t="s">
        <v>16</v>
      </c>
      <c r="F541" t="s">
        <v>16</v>
      </c>
      <c r="G541">
        <v>1</v>
      </c>
      <c r="H541" t="s">
        <v>681</v>
      </c>
      <c r="I541" t="s">
        <v>682</v>
      </c>
      <c r="J541" t="s">
        <v>53</v>
      </c>
      <c r="K541" t="s">
        <v>40</v>
      </c>
      <c r="L541">
        <v>12</v>
      </c>
      <c r="M541" s="5">
        <v>6866</v>
      </c>
      <c r="N541" s="5">
        <f>+M541*1.3</f>
        <v>8925.8000000000011</v>
      </c>
      <c r="O541" s="2">
        <f>+N541-M541</f>
        <v>2059.8000000000011</v>
      </c>
    </row>
    <row r="542" spans="1:15" x14ac:dyDescent="0.2">
      <c r="A542" t="s">
        <v>35</v>
      </c>
      <c r="B542">
        <v>3</v>
      </c>
      <c r="C542" t="s">
        <v>22</v>
      </c>
      <c r="D542" t="s">
        <v>42</v>
      </c>
      <c r="E542" t="s">
        <v>16</v>
      </c>
      <c r="F542" t="s">
        <v>16</v>
      </c>
      <c r="G542">
        <v>1</v>
      </c>
      <c r="H542" t="s">
        <v>681</v>
      </c>
      <c r="I542" t="s">
        <v>682</v>
      </c>
      <c r="J542" t="s">
        <v>53</v>
      </c>
      <c r="K542" t="s">
        <v>40</v>
      </c>
      <c r="L542">
        <v>12</v>
      </c>
      <c r="M542" s="5">
        <v>6866</v>
      </c>
      <c r="N542" s="5">
        <f>+M542*1.3</f>
        <v>8925.8000000000011</v>
      </c>
      <c r="O542" s="2">
        <f>+N542-M542</f>
        <v>2059.8000000000011</v>
      </c>
    </row>
    <row r="543" spans="1:15" x14ac:dyDescent="0.2">
      <c r="A543" t="s">
        <v>21</v>
      </c>
      <c r="B543">
        <v>1</v>
      </c>
      <c r="C543" t="s">
        <v>22</v>
      </c>
      <c r="D543" t="s">
        <v>42</v>
      </c>
      <c r="E543" t="s">
        <v>16</v>
      </c>
      <c r="F543" t="s">
        <v>16</v>
      </c>
      <c r="G543">
        <v>1</v>
      </c>
      <c r="H543" t="s">
        <v>681</v>
      </c>
      <c r="I543" t="s">
        <v>682</v>
      </c>
      <c r="J543" t="s">
        <v>53</v>
      </c>
      <c r="K543" t="s">
        <v>40</v>
      </c>
      <c r="L543">
        <v>12</v>
      </c>
      <c r="M543" s="5">
        <v>6866</v>
      </c>
      <c r="N543" s="5">
        <f>+M543*1.3</f>
        <v>8925.8000000000011</v>
      </c>
      <c r="O543" s="2">
        <f>+N543-M543</f>
        <v>2059.8000000000011</v>
      </c>
    </row>
    <row r="544" spans="1:15" x14ac:dyDescent="0.2">
      <c r="A544" t="s">
        <v>28</v>
      </c>
      <c r="B544">
        <v>3</v>
      </c>
      <c r="C544" t="s">
        <v>22</v>
      </c>
      <c r="D544" t="s">
        <v>42</v>
      </c>
      <c r="E544" t="s">
        <v>16</v>
      </c>
      <c r="F544" t="s">
        <v>16</v>
      </c>
      <c r="G544">
        <v>1</v>
      </c>
      <c r="H544" t="s">
        <v>681</v>
      </c>
      <c r="I544" t="s">
        <v>682</v>
      </c>
      <c r="J544" t="s">
        <v>53</v>
      </c>
      <c r="K544" t="s">
        <v>40</v>
      </c>
      <c r="L544">
        <v>12</v>
      </c>
      <c r="M544" s="5">
        <v>6866</v>
      </c>
      <c r="N544" s="5">
        <f>+M544*1.3</f>
        <v>8925.8000000000011</v>
      </c>
      <c r="O544" s="2">
        <f>+N544-M544</f>
        <v>2059.8000000000011</v>
      </c>
    </row>
    <row r="545" spans="1:15" x14ac:dyDescent="0.2">
      <c r="A545" t="s">
        <v>13</v>
      </c>
      <c r="B545">
        <v>2</v>
      </c>
      <c r="C545" t="s">
        <v>22</v>
      </c>
      <c r="D545" t="s">
        <v>23</v>
      </c>
      <c r="E545" t="s">
        <v>16</v>
      </c>
      <c r="F545" t="s">
        <v>16</v>
      </c>
      <c r="G545">
        <v>5</v>
      </c>
      <c r="H545" t="s">
        <v>683</v>
      </c>
      <c r="I545" t="s">
        <v>684</v>
      </c>
      <c r="J545" t="s">
        <v>32</v>
      </c>
      <c r="K545" t="s">
        <v>27</v>
      </c>
      <c r="L545">
        <v>1</v>
      </c>
      <c r="M545" s="5">
        <v>6741</v>
      </c>
      <c r="N545" s="5">
        <f>+M545*1.3</f>
        <v>8763.3000000000011</v>
      </c>
      <c r="O545" s="2">
        <f>+N545-M545</f>
        <v>2022.3000000000011</v>
      </c>
    </row>
    <row r="546" spans="1:15" x14ac:dyDescent="0.2">
      <c r="A546" t="s">
        <v>21</v>
      </c>
      <c r="B546">
        <v>1</v>
      </c>
      <c r="C546" t="s">
        <v>22</v>
      </c>
      <c r="D546" t="s">
        <v>23</v>
      </c>
      <c r="E546" t="s">
        <v>16</v>
      </c>
      <c r="F546" t="s">
        <v>16</v>
      </c>
      <c r="G546">
        <v>5</v>
      </c>
      <c r="H546" t="s">
        <v>683</v>
      </c>
      <c r="I546" t="s">
        <v>684</v>
      </c>
      <c r="J546" t="s">
        <v>32</v>
      </c>
      <c r="K546" t="s">
        <v>27</v>
      </c>
      <c r="L546">
        <v>1</v>
      </c>
      <c r="M546" s="5">
        <v>6741</v>
      </c>
      <c r="N546" s="5">
        <f>+M546*1.3</f>
        <v>8763.3000000000011</v>
      </c>
      <c r="O546" s="2">
        <f>+N546-M546</f>
        <v>2022.3000000000011</v>
      </c>
    </row>
    <row r="547" spans="1:15" x14ac:dyDescent="0.2">
      <c r="A547" t="s">
        <v>28</v>
      </c>
      <c r="B547">
        <v>2</v>
      </c>
      <c r="C547" t="s">
        <v>22</v>
      </c>
      <c r="D547" t="s">
        <v>23</v>
      </c>
      <c r="E547" t="s">
        <v>16</v>
      </c>
      <c r="F547" t="s">
        <v>16</v>
      </c>
      <c r="G547">
        <v>5</v>
      </c>
      <c r="H547" t="s">
        <v>683</v>
      </c>
      <c r="I547" t="s">
        <v>684</v>
      </c>
      <c r="J547" t="s">
        <v>32</v>
      </c>
      <c r="K547" t="s">
        <v>27</v>
      </c>
      <c r="L547">
        <v>1</v>
      </c>
      <c r="M547" s="5">
        <v>6741</v>
      </c>
      <c r="N547" s="5">
        <f>+M547*1.3</f>
        <v>8763.3000000000011</v>
      </c>
      <c r="O547" s="2">
        <f>+N547-M547</f>
        <v>2022.3000000000011</v>
      </c>
    </row>
    <row r="548" spans="1:15" x14ac:dyDescent="0.2">
      <c r="A548" t="s">
        <v>13</v>
      </c>
      <c r="B548">
        <v>1</v>
      </c>
      <c r="C548" t="s">
        <v>22</v>
      </c>
      <c r="D548" t="s">
        <v>42</v>
      </c>
      <c r="E548" t="s">
        <v>16</v>
      </c>
      <c r="F548" t="s">
        <v>16</v>
      </c>
      <c r="G548">
        <v>1</v>
      </c>
      <c r="H548" t="s">
        <v>685</v>
      </c>
      <c r="I548" t="s">
        <v>686</v>
      </c>
      <c r="J548" t="s">
        <v>56</v>
      </c>
      <c r="K548" t="s">
        <v>57</v>
      </c>
      <c r="L548">
        <v>1</v>
      </c>
      <c r="M548" s="5">
        <v>315601</v>
      </c>
      <c r="N548" s="5">
        <f>+M548*1.3</f>
        <v>410281.3</v>
      </c>
      <c r="O548" s="2">
        <f>+N548-M548</f>
        <v>94680.299999999988</v>
      </c>
    </row>
    <row r="549" spans="1:15" x14ac:dyDescent="0.2">
      <c r="A549" t="s">
        <v>35</v>
      </c>
      <c r="B549">
        <v>1</v>
      </c>
      <c r="C549" t="s">
        <v>22</v>
      </c>
      <c r="D549" t="s">
        <v>42</v>
      </c>
      <c r="E549" t="s">
        <v>16</v>
      </c>
      <c r="F549" t="s">
        <v>16</v>
      </c>
      <c r="G549">
        <v>1</v>
      </c>
      <c r="H549" t="s">
        <v>685</v>
      </c>
      <c r="I549" t="s">
        <v>686</v>
      </c>
      <c r="J549" t="s">
        <v>56</v>
      </c>
      <c r="K549" t="s">
        <v>57</v>
      </c>
      <c r="L549">
        <v>1</v>
      </c>
      <c r="M549" s="5">
        <v>315601</v>
      </c>
      <c r="N549" s="5">
        <f>+M549*1.3</f>
        <v>410281.3</v>
      </c>
      <c r="O549" s="2">
        <f>+N549-M549</f>
        <v>94680.299999999988</v>
      </c>
    </row>
    <row r="550" spans="1:15" x14ac:dyDescent="0.2">
      <c r="A550" t="s">
        <v>21</v>
      </c>
      <c r="B550">
        <v>3</v>
      </c>
      <c r="C550" t="s">
        <v>22</v>
      </c>
      <c r="D550" t="s">
        <v>42</v>
      </c>
      <c r="E550" t="s">
        <v>16</v>
      </c>
      <c r="F550" t="s">
        <v>16</v>
      </c>
      <c r="G550">
        <v>1</v>
      </c>
      <c r="H550" t="s">
        <v>685</v>
      </c>
      <c r="I550" t="s">
        <v>686</v>
      </c>
      <c r="J550" t="s">
        <v>56</v>
      </c>
      <c r="K550" t="s">
        <v>57</v>
      </c>
      <c r="L550">
        <v>1</v>
      </c>
      <c r="M550" s="5">
        <v>315601</v>
      </c>
      <c r="N550" s="5">
        <f>+M550*1.3</f>
        <v>410281.3</v>
      </c>
      <c r="O550" s="2">
        <f>+N550-M550</f>
        <v>94680.299999999988</v>
      </c>
    </row>
    <row r="551" spans="1:15" x14ac:dyDescent="0.2">
      <c r="A551" t="s">
        <v>28</v>
      </c>
      <c r="B551">
        <v>1</v>
      </c>
      <c r="C551" t="s">
        <v>22</v>
      </c>
      <c r="D551" t="s">
        <v>42</v>
      </c>
      <c r="E551" t="s">
        <v>16</v>
      </c>
      <c r="F551" t="s">
        <v>16</v>
      </c>
      <c r="G551">
        <v>1</v>
      </c>
      <c r="H551" t="s">
        <v>685</v>
      </c>
      <c r="I551" t="s">
        <v>686</v>
      </c>
      <c r="J551" t="s">
        <v>56</v>
      </c>
      <c r="K551" t="s">
        <v>57</v>
      </c>
      <c r="L551">
        <v>1</v>
      </c>
      <c r="M551" s="5">
        <v>315601</v>
      </c>
      <c r="N551" s="5">
        <f>+M551*1.3</f>
        <v>410281.3</v>
      </c>
      <c r="O551" s="2">
        <f>+N551-M551</f>
        <v>94680.299999999988</v>
      </c>
    </row>
    <row r="552" spans="1:15" x14ac:dyDescent="0.2">
      <c r="A552" t="s">
        <v>88</v>
      </c>
      <c r="B552">
        <v>1</v>
      </c>
      <c r="C552" t="s">
        <v>14</v>
      </c>
      <c r="D552" t="s">
        <v>89</v>
      </c>
      <c r="E552" t="s">
        <v>16</v>
      </c>
      <c r="F552" t="s">
        <v>16</v>
      </c>
      <c r="G552">
        <v>1</v>
      </c>
      <c r="H552" t="s">
        <v>687</v>
      </c>
      <c r="I552" t="s">
        <v>688</v>
      </c>
      <c r="J552" t="s">
        <v>26</v>
      </c>
      <c r="K552" t="s">
        <v>27</v>
      </c>
      <c r="L552">
        <v>1</v>
      </c>
      <c r="M552" s="5">
        <v>1532</v>
      </c>
      <c r="N552" s="5">
        <f>+M552*1.3</f>
        <v>1991.6000000000001</v>
      </c>
      <c r="O552" s="2">
        <f>+N552-M552</f>
        <v>459.60000000000014</v>
      </c>
    </row>
    <row r="553" spans="1:15" x14ac:dyDescent="0.2">
      <c r="A553" t="s">
        <v>88</v>
      </c>
      <c r="B553">
        <v>3</v>
      </c>
      <c r="C553" t="s">
        <v>14</v>
      </c>
      <c r="D553" t="s">
        <v>89</v>
      </c>
      <c r="E553" t="s">
        <v>16</v>
      </c>
      <c r="F553" t="s">
        <v>16</v>
      </c>
      <c r="G553">
        <v>1</v>
      </c>
      <c r="H553" t="s">
        <v>689</v>
      </c>
      <c r="I553" t="s">
        <v>690</v>
      </c>
      <c r="J553" t="s">
        <v>123</v>
      </c>
      <c r="K553" t="s">
        <v>57</v>
      </c>
      <c r="L553">
        <v>1</v>
      </c>
      <c r="M553" s="5">
        <v>265850</v>
      </c>
      <c r="N553" s="5">
        <f>+M553*1.3</f>
        <v>345605</v>
      </c>
      <c r="O553" s="2">
        <f>+N553-M553</f>
        <v>79755</v>
      </c>
    </row>
    <row r="554" spans="1:15" x14ac:dyDescent="0.2">
      <c r="A554" t="s">
        <v>88</v>
      </c>
      <c r="B554">
        <v>1</v>
      </c>
      <c r="C554" t="s">
        <v>94</v>
      </c>
      <c r="D554" t="s">
        <v>89</v>
      </c>
      <c r="E554" t="s">
        <v>16</v>
      </c>
      <c r="F554" t="s">
        <v>16</v>
      </c>
      <c r="G554">
        <v>37</v>
      </c>
      <c r="H554" t="s">
        <v>691</v>
      </c>
      <c r="I554" t="s">
        <v>692</v>
      </c>
      <c r="J554" t="s">
        <v>421</v>
      </c>
      <c r="K554" t="s">
        <v>40</v>
      </c>
      <c r="L554">
        <v>12</v>
      </c>
      <c r="M554" s="5">
        <v>23840</v>
      </c>
      <c r="N554" s="5">
        <f>+M554*1.3</f>
        <v>30992</v>
      </c>
      <c r="O554" s="2">
        <f>+N554-M554</f>
        <v>7152</v>
      </c>
    </row>
    <row r="555" spans="1:15" x14ac:dyDescent="0.2">
      <c r="A555" t="s">
        <v>88</v>
      </c>
      <c r="B555">
        <v>1</v>
      </c>
      <c r="C555" t="s">
        <v>94</v>
      </c>
      <c r="D555" t="s">
        <v>89</v>
      </c>
      <c r="E555" t="s">
        <v>16</v>
      </c>
      <c r="F555" t="s">
        <v>16</v>
      </c>
      <c r="G555">
        <v>60</v>
      </c>
      <c r="H555" t="s">
        <v>693</v>
      </c>
      <c r="I555" t="s">
        <v>694</v>
      </c>
      <c r="J555" t="s">
        <v>421</v>
      </c>
      <c r="K555" t="s">
        <v>40</v>
      </c>
      <c r="L555">
        <v>12</v>
      </c>
      <c r="M555" s="5">
        <v>30970</v>
      </c>
      <c r="N555" s="5">
        <f>+M555*1.3</f>
        <v>40261</v>
      </c>
      <c r="O555" s="2">
        <f>+N555-M555</f>
        <v>9291</v>
      </c>
    </row>
    <row r="556" spans="1:15" x14ac:dyDescent="0.2">
      <c r="A556" t="s">
        <v>88</v>
      </c>
      <c r="B556">
        <v>1</v>
      </c>
      <c r="C556" t="s">
        <v>94</v>
      </c>
      <c r="D556" t="s">
        <v>89</v>
      </c>
      <c r="E556" t="s">
        <v>16</v>
      </c>
      <c r="F556" t="s">
        <v>16</v>
      </c>
      <c r="G556">
        <v>56</v>
      </c>
      <c r="H556" t="s">
        <v>695</v>
      </c>
      <c r="I556" t="s">
        <v>696</v>
      </c>
      <c r="J556" t="s">
        <v>421</v>
      </c>
      <c r="K556" t="s">
        <v>40</v>
      </c>
      <c r="L556">
        <v>12</v>
      </c>
      <c r="M556" s="5">
        <v>28554</v>
      </c>
      <c r="N556" s="5">
        <f>+M556*1.3</f>
        <v>37120.200000000004</v>
      </c>
      <c r="O556" s="2">
        <f>+N556-M556</f>
        <v>8566.2000000000044</v>
      </c>
    </row>
    <row r="557" spans="1:15" x14ac:dyDescent="0.2">
      <c r="A557" t="s">
        <v>88</v>
      </c>
      <c r="B557">
        <v>1</v>
      </c>
      <c r="C557" t="s">
        <v>320</v>
      </c>
      <c r="D557" t="s">
        <v>89</v>
      </c>
      <c r="E557" t="s">
        <v>16</v>
      </c>
      <c r="F557" t="s">
        <v>16</v>
      </c>
      <c r="G557">
        <v>93</v>
      </c>
      <c r="H557" t="s">
        <v>697</v>
      </c>
      <c r="I557" t="s">
        <v>698</v>
      </c>
      <c r="J557" t="s">
        <v>135</v>
      </c>
      <c r="K557" t="s">
        <v>40</v>
      </c>
      <c r="L557">
        <v>1</v>
      </c>
      <c r="M557" s="5">
        <v>4338</v>
      </c>
      <c r="N557" s="5">
        <f>+M557*1.3</f>
        <v>5639.4000000000005</v>
      </c>
      <c r="O557" s="2">
        <f>+N557-M557</f>
        <v>1301.4000000000005</v>
      </c>
    </row>
    <row r="558" spans="1:15" x14ac:dyDescent="0.2">
      <c r="A558" t="s">
        <v>88</v>
      </c>
      <c r="B558">
        <v>1</v>
      </c>
      <c r="C558" t="s">
        <v>94</v>
      </c>
      <c r="D558" t="s">
        <v>89</v>
      </c>
      <c r="E558" t="s">
        <v>16</v>
      </c>
      <c r="F558" t="s">
        <v>16</v>
      </c>
      <c r="G558">
        <v>84</v>
      </c>
      <c r="H558" t="s">
        <v>699</v>
      </c>
      <c r="I558" t="s">
        <v>700</v>
      </c>
      <c r="J558" t="s">
        <v>421</v>
      </c>
      <c r="K558" t="s">
        <v>40</v>
      </c>
      <c r="L558">
        <v>12</v>
      </c>
      <c r="M558" s="5">
        <v>42589</v>
      </c>
      <c r="N558" s="5">
        <f>+M558*1.3</f>
        <v>55365.700000000004</v>
      </c>
      <c r="O558" s="2">
        <f>+N558-M558</f>
        <v>12776.700000000004</v>
      </c>
    </row>
    <row r="559" spans="1:15" x14ac:dyDescent="0.2">
      <c r="A559" t="s">
        <v>88</v>
      </c>
      <c r="B559">
        <v>1</v>
      </c>
      <c r="C559" t="s">
        <v>320</v>
      </c>
      <c r="D559" t="s">
        <v>89</v>
      </c>
      <c r="E559" t="s">
        <v>16</v>
      </c>
      <c r="F559" t="s">
        <v>16</v>
      </c>
      <c r="G559">
        <v>92</v>
      </c>
      <c r="H559" t="s">
        <v>701</v>
      </c>
      <c r="I559" t="s">
        <v>702</v>
      </c>
      <c r="J559" t="s">
        <v>135</v>
      </c>
      <c r="K559" t="s">
        <v>40</v>
      </c>
      <c r="L559">
        <v>10</v>
      </c>
      <c r="M559" s="5">
        <v>41754</v>
      </c>
      <c r="N559" s="5">
        <f>+M559*1.3</f>
        <v>54280.200000000004</v>
      </c>
      <c r="O559" s="2">
        <f>+N559-M559</f>
        <v>12526.200000000004</v>
      </c>
    </row>
    <row r="560" spans="1:15" x14ac:dyDescent="0.2">
      <c r="A560" t="s">
        <v>88</v>
      </c>
      <c r="B560">
        <v>1</v>
      </c>
      <c r="C560" t="s">
        <v>320</v>
      </c>
      <c r="D560" t="s">
        <v>89</v>
      </c>
      <c r="E560" t="s">
        <v>16</v>
      </c>
      <c r="F560" t="s">
        <v>16</v>
      </c>
      <c r="G560">
        <v>34</v>
      </c>
      <c r="H560" t="s">
        <v>703</v>
      </c>
      <c r="I560" t="s">
        <v>704</v>
      </c>
      <c r="J560" t="s">
        <v>323</v>
      </c>
      <c r="K560" t="s">
        <v>40</v>
      </c>
      <c r="L560">
        <v>1</v>
      </c>
      <c r="M560" s="5">
        <v>1863</v>
      </c>
      <c r="N560" s="5">
        <f>+M560*1.3</f>
        <v>2421.9</v>
      </c>
      <c r="O560" s="2">
        <f>+N560-M560</f>
        <v>558.90000000000009</v>
      </c>
    </row>
    <row r="561" spans="1:15" x14ac:dyDescent="0.2">
      <c r="A561" t="s">
        <v>88</v>
      </c>
      <c r="B561">
        <v>1</v>
      </c>
      <c r="C561" t="s">
        <v>320</v>
      </c>
      <c r="D561" t="s">
        <v>89</v>
      </c>
      <c r="E561" t="s">
        <v>16</v>
      </c>
      <c r="F561" t="s">
        <v>16</v>
      </c>
      <c r="G561">
        <v>20</v>
      </c>
      <c r="H561" t="s">
        <v>705</v>
      </c>
      <c r="I561" t="s">
        <v>706</v>
      </c>
      <c r="J561" t="s">
        <v>342</v>
      </c>
      <c r="K561" t="s">
        <v>40</v>
      </c>
      <c r="L561">
        <v>1</v>
      </c>
      <c r="M561" s="5">
        <v>1296</v>
      </c>
      <c r="N561" s="5">
        <f>+M561*1.3</f>
        <v>1684.8</v>
      </c>
      <c r="O561" s="2">
        <f>+N561-M561</f>
        <v>388.79999999999995</v>
      </c>
    </row>
    <row r="562" spans="1:15" x14ac:dyDescent="0.2">
      <c r="A562" t="s">
        <v>88</v>
      </c>
      <c r="B562">
        <v>1</v>
      </c>
      <c r="C562" t="s">
        <v>320</v>
      </c>
      <c r="D562" t="s">
        <v>89</v>
      </c>
      <c r="E562" t="s">
        <v>16</v>
      </c>
      <c r="F562" t="s">
        <v>16</v>
      </c>
      <c r="G562">
        <v>34</v>
      </c>
      <c r="H562" t="s">
        <v>707</v>
      </c>
      <c r="I562" t="s">
        <v>708</v>
      </c>
      <c r="J562" t="s">
        <v>26</v>
      </c>
      <c r="K562" t="s">
        <v>27</v>
      </c>
      <c r="L562">
        <v>1</v>
      </c>
      <c r="M562" s="5">
        <v>12498</v>
      </c>
      <c r="N562" s="5">
        <f>+M562*1.3</f>
        <v>16247.400000000001</v>
      </c>
      <c r="O562" s="2">
        <f>+N562-M562</f>
        <v>3749.4000000000015</v>
      </c>
    </row>
    <row r="563" spans="1:15" x14ac:dyDescent="0.2">
      <c r="A563" t="s">
        <v>88</v>
      </c>
      <c r="B563">
        <v>1</v>
      </c>
      <c r="C563" t="s">
        <v>320</v>
      </c>
      <c r="D563" t="s">
        <v>89</v>
      </c>
      <c r="E563" t="s">
        <v>16</v>
      </c>
      <c r="F563" t="s">
        <v>16</v>
      </c>
      <c r="G563">
        <v>14</v>
      </c>
      <c r="H563" t="s">
        <v>709</v>
      </c>
      <c r="I563" t="s">
        <v>710</v>
      </c>
      <c r="J563" t="s">
        <v>342</v>
      </c>
      <c r="K563" t="s">
        <v>98</v>
      </c>
      <c r="L563">
        <v>12</v>
      </c>
      <c r="M563" s="5">
        <v>15890</v>
      </c>
      <c r="N563" s="5">
        <f>+M563*1.3</f>
        <v>20657</v>
      </c>
      <c r="O563" s="2">
        <f>+N563-M563</f>
        <v>4767</v>
      </c>
    </row>
    <row r="564" spans="1:15" x14ac:dyDescent="0.2">
      <c r="A564" t="s">
        <v>88</v>
      </c>
      <c r="B564">
        <v>1</v>
      </c>
      <c r="C564" t="s">
        <v>320</v>
      </c>
      <c r="D564" t="s">
        <v>89</v>
      </c>
      <c r="E564" t="s">
        <v>16</v>
      </c>
      <c r="F564" t="s">
        <v>16</v>
      </c>
      <c r="G564">
        <v>17</v>
      </c>
      <c r="H564" t="s">
        <v>711</v>
      </c>
      <c r="I564" t="s">
        <v>712</v>
      </c>
      <c r="J564" t="s">
        <v>342</v>
      </c>
      <c r="K564" t="s">
        <v>40</v>
      </c>
      <c r="L564">
        <v>1</v>
      </c>
      <c r="M564" s="5">
        <v>1254</v>
      </c>
      <c r="N564" s="5">
        <f>+M564*1.3</f>
        <v>1630.2</v>
      </c>
      <c r="O564" s="2">
        <f>+N564-M564</f>
        <v>376.20000000000005</v>
      </c>
    </row>
    <row r="565" spans="1:15" x14ac:dyDescent="0.2">
      <c r="A565" t="s">
        <v>88</v>
      </c>
      <c r="B565">
        <v>1</v>
      </c>
      <c r="C565" t="s">
        <v>320</v>
      </c>
      <c r="D565" t="s">
        <v>89</v>
      </c>
      <c r="E565" t="s">
        <v>16</v>
      </c>
      <c r="F565" t="s">
        <v>16</v>
      </c>
      <c r="G565">
        <v>37</v>
      </c>
      <c r="H565" t="s">
        <v>713</v>
      </c>
      <c r="I565" t="s">
        <v>714</v>
      </c>
      <c r="J565" t="s">
        <v>26</v>
      </c>
      <c r="K565" t="s">
        <v>27</v>
      </c>
      <c r="L565">
        <v>6</v>
      </c>
      <c r="M565" s="5">
        <v>76580</v>
      </c>
      <c r="N565" s="5">
        <f>+M565*1.3</f>
        <v>99554</v>
      </c>
      <c r="O565" s="2">
        <f>+N565-M565</f>
        <v>22974</v>
      </c>
    </row>
    <row r="566" spans="1:15" x14ac:dyDescent="0.2">
      <c r="A566" t="s">
        <v>88</v>
      </c>
      <c r="B566">
        <v>1</v>
      </c>
      <c r="C566" t="s">
        <v>320</v>
      </c>
      <c r="D566" t="s">
        <v>89</v>
      </c>
      <c r="E566" t="s">
        <v>16</v>
      </c>
      <c r="F566" t="s">
        <v>16</v>
      </c>
      <c r="G566">
        <v>9</v>
      </c>
      <c r="H566" t="s">
        <v>715</v>
      </c>
      <c r="I566" t="s">
        <v>716</v>
      </c>
      <c r="J566" t="s">
        <v>342</v>
      </c>
      <c r="K566" t="s">
        <v>98</v>
      </c>
      <c r="L566">
        <v>12</v>
      </c>
      <c r="M566" s="5">
        <v>14642</v>
      </c>
      <c r="N566" s="5">
        <f>+M566*1.3</f>
        <v>19034.600000000002</v>
      </c>
      <c r="O566" s="2">
        <f>+N566-M566</f>
        <v>4392.6000000000022</v>
      </c>
    </row>
    <row r="567" spans="1:15" x14ac:dyDescent="0.2">
      <c r="A567" t="s">
        <v>88</v>
      </c>
      <c r="B567">
        <v>1</v>
      </c>
      <c r="C567" t="s">
        <v>320</v>
      </c>
      <c r="D567" t="s">
        <v>89</v>
      </c>
      <c r="E567" t="s">
        <v>16</v>
      </c>
      <c r="F567" t="s">
        <v>16</v>
      </c>
      <c r="G567">
        <v>26</v>
      </c>
      <c r="H567" t="s">
        <v>717</v>
      </c>
      <c r="I567" t="s">
        <v>718</v>
      </c>
      <c r="J567" t="s">
        <v>323</v>
      </c>
      <c r="K567" t="s">
        <v>40</v>
      </c>
      <c r="L567">
        <v>1</v>
      </c>
      <c r="M567" s="5">
        <v>1655</v>
      </c>
      <c r="N567" s="5">
        <f>+M567*1.3</f>
        <v>2151.5</v>
      </c>
      <c r="O567" s="2">
        <f>+N567-M567</f>
        <v>496.5</v>
      </c>
    </row>
    <row r="568" spans="1:15" x14ac:dyDescent="0.2">
      <c r="A568" t="s">
        <v>88</v>
      </c>
      <c r="B568">
        <v>1</v>
      </c>
      <c r="C568" t="s">
        <v>14</v>
      </c>
      <c r="D568" t="s">
        <v>89</v>
      </c>
      <c r="E568" t="s">
        <v>16</v>
      </c>
      <c r="F568" t="s">
        <v>16</v>
      </c>
      <c r="G568">
        <v>14</v>
      </c>
      <c r="H568" t="s">
        <v>719</v>
      </c>
      <c r="I568" t="s">
        <v>720</v>
      </c>
      <c r="J568" t="s">
        <v>326</v>
      </c>
      <c r="K568" t="s">
        <v>40</v>
      </c>
      <c r="L568">
        <v>1</v>
      </c>
      <c r="M568" s="5">
        <v>1229</v>
      </c>
      <c r="N568" s="5">
        <f>+M568*1.3</f>
        <v>1597.7</v>
      </c>
      <c r="O568" s="2">
        <f>+N568-M568</f>
        <v>368.70000000000005</v>
      </c>
    </row>
    <row r="569" spans="1:15" x14ac:dyDescent="0.2">
      <c r="A569" t="s">
        <v>88</v>
      </c>
      <c r="B569">
        <v>1</v>
      </c>
      <c r="C569" t="s">
        <v>320</v>
      </c>
      <c r="D569" t="s">
        <v>89</v>
      </c>
      <c r="E569" t="s">
        <v>16</v>
      </c>
      <c r="F569" t="s">
        <v>16</v>
      </c>
      <c r="G569">
        <v>22</v>
      </c>
      <c r="H569" t="s">
        <v>721</v>
      </c>
      <c r="I569" t="s">
        <v>722</v>
      </c>
      <c r="J569" t="s">
        <v>323</v>
      </c>
      <c r="K569" t="s">
        <v>40</v>
      </c>
      <c r="L569">
        <v>12</v>
      </c>
      <c r="M569" s="5">
        <v>19278</v>
      </c>
      <c r="N569" s="5">
        <f>+M569*1.3</f>
        <v>25061.4</v>
      </c>
      <c r="O569" s="2">
        <f>+N569-M569</f>
        <v>5783.4000000000015</v>
      </c>
    </row>
    <row r="570" spans="1:15" x14ac:dyDescent="0.2">
      <c r="A570" t="s">
        <v>88</v>
      </c>
      <c r="B570">
        <v>1</v>
      </c>
      <c r="C570" t="s">
        <v>14</v>
      </c>
      <c r="D570" t="s">
        <v>89</v>
      </c>
      <c r="E570" t="s">
        <v>16</v>
      </c>
      <c r="F570" t="s">
        <v>16</v>
      </c>
      <c r="G570">
        <v>39</v>
      </c>
      <c r="H570" t="s">
        <v>723</v>
      </c>
      <c r="I570" t="s">
        <v>724</v>
      </c>
      <c r="J570" t="s">
        <v>152</v>
      </c>
      <c r="K570" t="s">
        <v>40</v>
      </c>
      <c r="L570">
        <v>1</v>
      </c>
      <c r="M570" s="5">
        <v>2028</v>
      </c>
      <c r="N570" s="5">
        <f>+M570*1.3</f>
        <v>2636.4</v>
      </c>
      <c r="O570" s="2">
        <f>+N570-M570</f>
        <v>608.40000000000009</v>
      </c>
    </row>
    <row r="571" spans="1:15" x14ac:dyDescent="0.2">
      <c r="A571" t="s">
        <v>88</v>
      </c>
      <c r="B571">
        <v>1</v>
      </c>
      <c r="C571" t="s">
        <v>94</v>
      </c>
      <c r="D571" t="s">
        <v>89</v>
      </c>
      <c r="E571" t="s">
        <v>16</v>
      </c>
      <c r="F571" t="s">
        <v>16</v>
      </c>
      <c r="G571">
        <v>10</v>
      </c>
      <c r="H571" t="s">
        <v>725</v>
      </c>
      <c r="I571" t="s">
        <v>726</v>
      </c>
      <c r="J571" t="s">
        <v>26</v>
      </c>
      <c r="K571" t="s">
        <v>27</v>
      </c>
      <c r="L571">
        <v>1</v>
      </c>
      <c r="M571" s="5">
        <v>7480</v>
      </c>
      <c r="N571" s="5">
        <f>+M571*1.3</f>
        <v>9724</v>
      </c>
      <c r="O571" s="2">
        <f>+N571-M571</f>
        <v>2244</v>
      </c>
    </row>
    <row r="572" spans="1:15" x14ac:dyDescent="0.2">
      <c r="A572" t="s">
        <v>88</v>
      </c>
      <c r="B572">
        <v>1</v>
      </c>
      <c r="C572" t="s">
        <v>94</v>
      </c>
      <c r="D572" t="s">
        <v>89</v>
      </c>
      <c r="E572" t="s">
        <v>16</v>
      </c>
      <c r="F572" t="s">
        <v>16</v>
      </c>
      <c r="G572">
        <v>13</v>
      </c>
      <c r="H572" t="s">
        <v>727</v>
      </c>
      <c r="I572" t="s">
        <v>728</v>
      </c>
      <c r="J572" t="s">
        <v>175</v>
      </c>
      <c r="K572" t="s">
        <v>40</v>
      </c>
      <c r="L572">
        <v>1</v>
      </c>
      <c r="M572" s="5">
        <v>1206</v>
      </c>
      <c r="N572" s="5">
        <f>+M572*1.3</f>
        <v>1567.8</v>
      </c>
      <c r="O572" s="2">
        <f>+N572-M572</f>
        <v>361.79999999999995</v>
      </c>
    </row>
    <row r="573" spans="1:15" x14ac:dyDescent="0.2">
      <c r="A573" t="s">
        <v>88</v>
      </c>
      <c r="B573">
        <v>1</v>
      </c>
      <c r="C573" t="s">
        <v>94</v>
      </c>
      <c r="D573" t="s">
        <v>89</v>
      </c>
      <c r="E573" t="s">
        <v>16</v>
      </c>
      <c r="F573" t="s">
        <v>16</v>
      </c>
      <c r="G573">
        <v>12</v>
      </c>
      <c r="H573" t="s">
        <v>729</v>
      </c>
      <c r="I573" t="s">
        <v>730</v>
      </c>
      <c r="J573" t="s">
        <v>26</v>
      </c>
      <c r="K573" t="s">
        <v>27</v>
      </c>
      <c r="L573">
        <v>6</v>
      </c>
      <c r="M573" s="5">
        <v>45833</v>
      </c>
      <c r="N573" s="5">
        <f>+M573*1.3</f>
        <v>59582.9</v>
      </c>
      <c r="O573" s="2">
        <f>+N573-M573</f>
        <v>13749.900000000001</v>
      </c>
    </row>
    <row r="574" spans="1:15" x14ac:dyDescent="0.2">
      <c r="A574" t="s">
        <v>88</v>
      </c>
      <c r="B574">
        <v>1</v>
      </c>
      <c r="C574" t="s">
        <v>94</v>
      </c>
      <c r="D574" t="s">
        <v>89</v>
      </c>
      <c r="E574" t="s">
        <v>16</v>
      </c>
      <c r="F574" t="s">
        <v>16</v>
      </c>
      <c r="G574">
        <v>8</v>
      </c>
      <c r="H574" t="s">
        <v>731</v>
      </c>
      <c r="I574" t="s">
        <v>732</v>
      </c>
      <c r="J574" t="s">
        <v>135</v>
      </c>
      <c r="K574" t="s">
        <v>40</v>
      </c>
      <c r="L574">
        <v>1</v>
      </c>
      <c r="M574" s="5">
        <v>1065</v>
      </c>
      <c r="N574" s="5">
        <f>+M574*1.3</f>
        <v>1384.5</v>
      </c>
      <c r="O574" s="2">
        <f>+N574-M574</f>
        <v>319.5</v>
      </c>
    </row>
    <row r="575" spans="1:15" x14ac:dyDescent="0.2">
      <c r="A575" t="s">
        <v>88</v>
      </c>
      <c r="B575">
        <v>1</v>
      </c>
      <c r="C575" t="s">
        <v>94</v>
      </c>
      <c r="D575" t="s">
        <v>89</v>
      </c>
      <c r="E575" t="s">
        <v>16</v>
      </c>
      <c r="F575" t="s">
        <v>16</v>
      </c>
      <c r="G575">
        <v>10</v>
      </c>
      <c r="H575" t="s">
        <v>733</v>
      </c>
      <c r="I575" t="s">
        <v>734</v>
      </c>
      <c r="J575" t="s">
        <v>175</v>
      </c>
      <c r="K575" t="s">
        <v>98</v>
      </c>
      <c r="L575">
        <v>12</v>
      </c>
      <c r="M575" s="5">
        <v>14778</v>
      </c>
      <c r="N575" s="5">
        <f>+M575*1.3</f>
        <v>19211.400000000001</v>
      </c>
      <c r="O575" s="2">
        <f>+N575-M575</f>
        <v>4433.4000000000015</v>
      </c>
    </row>
    <row r="576" spans="1:15" x14ac:dyDescent="0.2">
      <c r="A576" t="s">
        <v>88</v>
      </c>
      <c r="B576">
        <v>1</v>
      </c>
      <c r="C576" t="s">
        <v>94</v>
      </c>
      <c r="D576" t="s">
        <v>89</v>
      </c>
      <c r="E576" t="s">
        <v>16</v>
      </c>
      <c r="F576" t="s">
        <v>16</v>
      </c>
      <c r="G576">
        <v>16</v>
      </c>
      <c r="H576" t="s">
        <v>735</v>
      </c>
      <c r="I576" t="s">
        <v>736</v>
      </c>
      <c r="J576" t="s">
        <v>66</v>
      </c>
      <c r="K576" t="s">
        <v>27</v>
      </c>
      <c r="L576">
        <v>1</v>
      </c>
      <c r="M576" s="5">
        <v>8568</v>
      </c>
      <c r="N576" s="5">
        <f>+M576*1.3</f>
        <v>11138.4</v>
      </c>
      <c r="O576" s="2">
        <f>+N576-M576</f>
        <v>2570.3999999999996</v>
      </c>
    </row>
    <row r="577" spans="1:15" x14ac:dyDescent="0.2">
      <c r="A577" t="s">
        <v>88</v>
      </c>
      <c r="B577">
        <v>1</v>
      </c>
      <c r="C577" t="s">
        <v>94</v>
      </c>
      <c r="D577" t="s">
        <v>89</v>
      </c>
      <c r="E577" t="s">
        <v>16</v>
      </c>
      <c r="F577" t="s">
        <v>16</v>
      </c>
      <c r="G577">
        <v>10</v>
      </c>
      <c r="H577" t="s">
        <v>737</v>
      </c>
      <c r="I577" t="s">
        <v>738</v>
      </c>
      <c r="J577" t="s">
        <v>175</v>
      </c>
      <c r="K577" t="s">
        <v>98</v>
      </c>
      <c r="L577">
        <v>24</v>
      </c>
      <c r="M577" s="5">
        <v>29555</v>
      </c>
      <c r="N577" s="5">
        <f>+M577*1.3</f>
        <v>38421.5</v>
      </c>
      <c r="O577" s="2">
        <f>+N577-M577</f>
        <v>8866.5</v>
      </c>
    </row>
    <row r="578" spans="1:15" x14ac:dyDescent="0.2">
      <c r="A578" t="s">
        <v>88</v>
      </c>
      <c r="B578">
        <v>1</v>
      </c>
      <c r="C578" t="s">
        <v>94</v>
      </c>
      <c r="D578" t="s">
        <v>89</v>
      </c>
      <c r="E578" t="s">
        <v>16</v>
      </c>
      <c r="F578" t="s">
        <v>16</v>
      </c>
      <c r="G578">
        <v>18</v>
      </c>
      <c r="H578" t="s">
        <v>739</v>
      </c>
      <c r="I578" t="s">
        <v>740</v>
      </c>
      <c r="J578" t="s">
        <v>175</v>
      </c>
      <c r="K578" t="s">
        <v>40</v>
      </c>
      <c r="L578">
        <v>1</v>
      </c>
      <c r="M578" s="5">
        <v>1276</v>
      </c>
      <c r="N578" s="5">
        <f>+M578*1.3</f>
        <v>1658.8</v>
      </c>
      <c r="O578" s="2">
        <f>+N578-M578</f>
        <v>382.79999999999995</v>
      </c>
    </row>
    <row r="579" spans="1:15" x14ac:dyDescent="0.2">
      <c r="A579" t="s">
        <v>88</v>
      </c>
      <c r="B579">
        <v>1</v>
      </c>
      <c r="C579" t="s">
        <v>94</v>
      </c>
      <c r="D579" t="s">
        <v>89</v>
      </c>
      <c r="E579" t="s">
        <v>16</v>
      </c>
      <c r="F579" t="s">
        <v>16</v>
      </c>
      <c r="G579">
        <v>9</v>
      </c>
      <c r="H579" t="s">
        <v>741</v>
      </c>
      <c r="I579" t="s">
        <v>742</v>
      </c>
      <c r="J579" t="s">
        <v>135</v>
      </c>
      <c r="K579" t="s">
        <v>40</v>
      </c>
      <c r="L579">
        <v>12</v>
      </c>
      <c r="M579" s="5">
        <v>13054</v>
      </c>
      <c r="N579" s="5">
        <f>+M579*1.3</f>
        <v>16970.2</v>
      </c>
      <c r="O579" s="2">
        <f>+N579-M579</f>
        <v>3916.2000000000007</v>
      </c>
    </row>
    <row r="580" spans="1:15" x14ac:dyDescent="0.2">
      <c r="A580" t="s">
        <v>88</v>
      </c>
      <c r="B580">
        <v>1</v>
      </c>
      <c r="C580" t="s">
        <v>94</v>
      </c>
      <c r="D580" t="s">
        <v>89</v>
      </c>
      <c r="E580" t="s">
        <v>16</v>
      </c>
      <c r="F580" t="s">
        <v>16</v>
      </c>
      <c r="G580">
        <v>7</v>
      </c>
      <c r="H580" t="s">
        <v>743</v>
      </c>
      <c r="I580" t="s">
        <v>744</v>
      </c>
      <c r="J580" t="s">
        <v>26</v>
      </c>
      <c r="K580" t="s">
        <v>27</v>
      </c>
      <c r="L580">
        <v>1</v>
      </c>
      <c r="M580" s="5">
        <v>5846</v>
      </c>
      <c r="N580" s="5">
        <f>+M580*1.3</f>
        <v>7599.8</v>
      </c>
      <c r="O580" s="2">
        <f>+N580-M580</f>
        <v>1753.8000000000002</v>
      </c>
    </row>
    <row r="581" spans="1:15" x14ac:dyDescent="0.2">
      <c r="A581" t="s">
        <v>88</v>
      </c>
      <c r="B581">
        <v>1</v>
      </c>
      <c r="C581" t="s">
        <v>94</v>
      </c>
      <c r="D581" t="s">
        <v>89</v>
      </c>
      <c r="E581" t="s">
        <v>16</v>
      </c>
      <c r="F581" t="s">
        <v>16</v>
      </c>
      <c r="G581">
        <v>17</v>
      </c>
      <c r="H581" t="s">
        <v>745</v>
      </c>
      <c r="I581" t="s">
        <v>746</v>
      </c>
      <c r="J581" t="s">
        <v>66</v>
      </c>
      <c r="K581" t="s">
        <v>27</v>
      </c>
      <c r="L581">
        <v>6</v>
      </c>
      <c r="M581" s="5">
        <v>52495</v>
      </c>
      <c r="N581" s="5">
        <f>+M581*1.3</f>
        <v>68243.5</v>
      </c>
      <c r="O581" s="2">
        <f>+N581-M581</f>
        <v>15748.5</v>
      </c>
    </row>
    <row r="582" spans="1:15" x14ac:dyDescent="0.2">
      <c r="A582" t="s">
        <v>88</v>
      </c>
      <c r="B582">
        <v>1</v>
      </c>
      <c r="C582" t="s">
        <v>94</v>
      </c>
      <c r="D582" t="s">
        <v>89</v>
      </c>
      <c r="E582" t="s">
        <v>16</v>
      </c>
      <c r="F582" t="s">
        <v>16</v>
      </c>
      <c r="G582">
        <v>49</v>
      </c>
      <c r="H582" t="s">
        <v>747</v>
      </c>
      <c r="I582" t="s">
        <v>748</v>
      </c>
      <c r="J582" t="s">
        <v>196</v>
      </c>
      <c r="K582" t="s">
        <v>40</v>
      </c>
      <c r="L582">
        <v>1</v>
      </c>
      <c r="M582" s="5">
        <v>2197</v>
      </c>
      <c r="N582" s="5">
        <f>+M582*1.3</f>
        <v>2856.1</v>
      </c>
      <c r="O582" s="2">
        <f>+N582-M582</f>
        <v>659.09999999999991</v>
      </c>
    </row>
    <row r="583" spans="1:15" x14ac:dyDescent="0.2">
      <c r="A583" t="s">
        <v>88</v>
      </c>
      <c r="B583">
        <v>1</v>
      </c>
      <c r="C583" t="s">
        <v>94</v>
      </c>
      <c r="D583" t="s">
        <v>89</v>
      </c>
      <c r="E583" t="s">
        <v>16</v>
      </c>
      <c r="F583" t="s">
        <v>16</v>
      </c>
      <c r="G583">
        <v>13</v>
      </c>
      <c r="H583" t="s">
        <v>749</v>
      </c>
      <c r="I583" t="s">
        <v>750</v>
      </c>
      <c r="J583" t="s">
        <v>175</v>
      </c>
      <c r="K583" t="s">
        <v>98</v>
      </c>
      <c r="L583">
        <v>12</v>
      </c>
      <c r="M583" s="5">
        <v>15634</v>
      </c>
      <c r="N583" s="5">
        <f>+M583*1.3</f>
        <v>20324.2</v>
      </c>
      <c r="O583" s="2">
        <f>+N583-M583</f>
        <v>4690.2000000000007</v>
      </c>
    </row>
    <row r="584" spans="1:15" x14ac:dyDescent="0.2">
      <c r="A584" t="s">
        <v>88</v>
      </c>
      <c r="B584">
        <v>1</v>
      </c>
      <c r="C584" t="s">
        <v>94</v>
      </c>
      <c r="D584" t="s">
        <v>89</v>
      </c>
      <c r="E584" t="s">
        <v>16</v>
      </c>
      <c r="F584" t="s">
        <v>16</v>
      </c>
      <c r="G584">
        <v>11</v>
      </c>
      <c r="H584" t="s">
        <v>751</v>
      </c>
      <c r="I584" t="s">
        <v>752</v>
      </c>
      <c r="J584" t="s">
        <v>196</v>
      </c>
      <c r="K584" t="s">
        <v>40</v>
      </c>
      <c r="L584">
        <v>1</v>
      </c>
      <c r="M584" s="5">
        <v>1158</v>
      </c>
      <c r="N584" s="5">
        <f>+M584*1.3</f>
        <v>1505.4</v>
      </c>
      <c r="O584" s="2">
        <f>+N584-M584</f>
        <v>347.40000000000009</v>
      </c>
    </row>
    <row r="585" spans="1:15" x14ac:dyDescent="0.2">
      <c r="A585" t="s">
        <v>88</v>
      </c>
      <c r="B585">
        <v>1</v>
      </c>
      <c r="C585" t="s">
        <v>94</v>
      </c>
      <c r="D585" t="s">
        <v>89</v>
      </c>
      <c r="E585" t="s">
        <v>16</v>
      </c>
      <c r="F585" t="s">
        <v>16</v>
      </c>
      <c r="G585">
        <v>8</v>
      </c>
      <c r="H585" t="s">
        <v>753</v>
      </c>
      <c r="I585" t="s">
        <v>754</v>
      </c>
      <c r="J585" t="s">
        <v>26</v>
      </c>
      <c r="K585" t="s">
        <v>27</v>
      </c>
      <c r="L585">
        <v>6</v>
      </c>
      <c r="M585" s="5">
        <v>35821</v>
      </c>
      <c r="N585" s="5">
        <f>+M585*1.3</f>
        <v>46567.3</v>
      </c>
      <c r="O585" s="2">
        <f>+N585-M585</f>
        <v>10746.300000000003</v>
      </c>
    </row>
    <row r="586" spans="1:15" x14ac:dyDescent="0.2">
      <c r="A586" t="s">
        <v>88</v>
      </c>
      <c r="B586">
        <v>1</v>
      </c>
      <c r="C586" t="s">
        <v>94</v>
      </c>
      <c r="D586" t="s">
        <v>89</v>
      </c>
      <c r="E586" t="s">
        <v>16</v>
      </c>
      <c r="F586" t="s">
        <v>16</v>
      </c>
      <c r="G586">
        <v>14</v>
      </c>
      <c r="H586" t="s">
        <v>755</v>
      </c>
      <c r="I586" t="s">
        <v>756</v>
      </c>
      <c r="J586" t="s">
        <v>26</v>
      </c>
      <c r="K586" t="s">
        <v>27</v>
      </c>
      <c r="L586">
        <v>1</v>
      </c>
      <c r="M586" s="5">
        <v>8226</v>
      </c>
      <c r="N586" s="5">
        <f>+M586*1.3</f>
        <v>10693.800000000001</v>
      </c>
      <c r="O586" s="2">
        <f>+N586-M586</f>
        <v>2467.8000000000011</v>
      </c>
    </row>
    <row r="587" spans="1:15" x14ac:dyDescent="0.2">
      <c r="A587" t="s">
        <v>88</v>
      </c>
      <c r="B587">
        <v>1</v>
      </c>
      <c r="C587" t="s">
        <v>94</v>
      </c>
      <c r="D587" t="s">
        <v>89</v>
      </c>
      <c r="E587" t="s">
        <v>16</v>
      </c>
      <c r="F587" t="s">
        <v>16</v>
      </c>
      <c r="G587">
        <v>53</v>
      </c>
      <c r="H587" t="s">
        <v>757</v>
      </c>
      <c r="I587" t="s">
        <v>758</v>
      </c>
      <c r="J587" t="s">
        <v>196</v>
      </c>
      <c r="K587" t="s">
        <v>40</v>
      </c>
      <c r="L587">
        <v>12</v>
      </c>
      <c r="M587" s="5">
        <v>26922</v>
      </c>
      <c r="N587" s="5">
        <f>+M587*1.3</f>
        <v>34998.6</v>
      </c>
      <c r="O587" s="2">
        <f>+N587-M587</f>
        <v>8076.5999999999985</v>
      </c>
    </row>
    <row r="588" spans="1:15" x14ac:dyDescent="0.2">
      <c r="A588" t="s">
        <v>88</v>
      </c>
      <c r="B588">
        <v>1</v>
      </c>
      <c r="C588" t="s">
        <v>94</v>
      </c>
      <c r="D588" t="s">
        <v>89</v>
      </c>
      <c r="E588" t="s">
        <v>16</v>
      </c>
      <c r="F588" t="s">
        <v>16</v>
      </c>
      <c r="G588">
        <v>3</v>
      </c>
      <c r="H588" t="s">
        <v>759</v>
      </c>
      <c r="I588" t="s">
        <v>760</v>
      </c>
      <c r="J588" t="s">
        <v>66</v>
      </c>
      <c r="K588" t="s">
        <v>27</v>
      </c>
      <c r="L588">
        <v>1</v>
      </c>
      <c r="M588" s="5">
        <v>2270</v>
      </c>
      <c r="N588" s="5">
        <f>+M588*1.3</f>
        <v>2951</v>
      </c>
      <c r="O588" s="2">
        <f>+N588-M588</f>
        <v>681</v>
      </c>
    </row>
    <row r="589" spans="1:15" x14ac:dyDescent="0.2">
      <c r="A589" t="s">
        <v>88</v>
      </c>
      <c r="B589">
        <v>1</v>
      </c>
      <c r="C589" t="s">
        <v>94</v>
      </c>
      <c r="D589" t="s">
        <v>89</v>
      </c>
      <c r="E589" t="s">
        <v>16</v>
      </c>
      <c r="F589" t="s">
        <v>16</v>
      </c>
      <c r="G589">
        <v>12</v>
      </c>
      <c r="H589" t="s">
        <v>761</v>
      </c>
      <c r="I589" t="s">
        <v>762</v>
      </c>
      <c r="J589" t="s">
        <v>196</v>
      </c>
      <c r="K589" t="s">
        <v>40</v>
      </c>
      <c r="L589">
        <v>12</v>
      </c>
      <c r="M589" s="5">
        <v>14193</v>
      </c>
      <c r="N589" s="5">
        <f>+M589*1.3</f>
        <v>18450.900000000001</v>
      </c>
      <c r="O589" s="2">
        <f>+N589-M589</f>
        <v>4257.9000000000015</v>
      </c>
    </row>
    <row r="590" spans="1:15" x14ac:dyDescent="0.2">
      <c r="A590" t="s">
        <v>88</v>
      </c>
      <c r="B590">
        <v>1</v>
      </c>
      <c r="C590" t="s">
        <v>94</v>
      </c>
      <c r="D590" t="s">
        <v>89</v>
      </c>
      <c r="E590" t="s">
        <v>16</v>
      </c>
      <c r="F590" t="s">
        <v>16</v>
      </c>
      <c r="G590">
        <v>62</v>
      </c>
      <c r="H590" t="s">
        <v>763</v>
      </c>
      <c r="I590" t="s">
        <v>764</v>
      </c>
      <c r="J590" t="s">
        <v>39</v>
      </c>
      <c r="K590" t="s">
        <v>40</v>
      </c>
      <c r="L590">
        <v>1</v>
      </c>
      <c r="M590" s="5">
        <v>2645</v>
      </c>
      <c r="N590" s="5">
        <f>+M590*1.3</f>
        <v>3438.5</v>
      </c>
      <c r="O590" s="2">
        <f>+N590-M590</f>
        <v>793.5</v>
      </c>
    </row>
    <row r="591" spans="1:15" x14ac:dyDescent="0.2">
      <c r="A591" t="s">
        <v>88</v>
      </c>
      <c r="B591">
        <v>1</v>
      </c>
      <c r="C591" t="s">
        <v>94</v>
      </c>
      <c r="D591" t="s">
        <v>89</v>
      </c>
      <c r="E591" t="s">
        <v>16</v>
      </c>
      <c r="F591" t="s">
        <v>16</v>
      </c>
      <c r="G591">
        <v>15</v>
      </c>
      <c r="H591" t="s">
        <v>765</v>
      </c>
      <c r="I591" t="s">
        <v>766</v>
      </c>
      <c r="J591" t="s">
        <v>26</v>
      </c>
      <c r="K591" t="s">
        <v>27</v>
      </c>
      <c r="L591">
        <v>6</v>
      </c>
      <c r="M591" s="5">
        <v>50400</v>
      </c>
      <c r="N591" s="5">
        <f>+M591*1.3</f>
        <v>65520</v>
      </c>
      <c r="O591" s="2">
        <f>+N591-M591</f>
        <v>15120</v>
      </c>
    </row>
    <row r="592" spans="1:15" x14ac:dyDescent="0.2">
      <c r="A592" t="s">
        <v>45</v>
      </c>
      <c r="B592">
        <v>3</v>
      </c>
      <c r="C592" t="s">
        <v>94</v>
      </c>
      <c r="D592" t="s">
        <v>214</v>
      </c>
      <c r="E592" t="s">
        <v>16</v>
      </c>
      <c r="F592" t="s">
        <v>16</v>
      </c>
      <c r="G592">
        <v>2</v>
      </c>
      <c r="H592" t="s">
        <v>767</v>
      </c>
      <c r="I592" t="s">
        <v>768</v>
      </c>
      <c r="J592" t="s">
        <v>175</v>
      </c>
      <c r="K592" t="s">
        <v>40</v>
      </c>
      <c r="L592">
        <v>1</v>
      </c>
      <c r="M592" s="5">
        <v>2010</v>
      </c>
      <c r="N592" s="5">
        <f>+M592*1.3</f>
        <v>2613</v>
      </c>
      <c r="O592" s="2">
        <f>+N592-M592</f>
        <v>603</v>
      </c>
    </row>
    <row r="593" spans="1:15" x14ac:dyDescent="0.2">
      <c r="A593" t="s">
        <v>41</v>
      </c>
      <c r="B593">
        <v>3</v>
      </c>
      <c r="C593" t="s">
        <v>94</v>
      </c>
      <c r="D593" t="s">
        <v>214</v>
      </c>
      <c r="E593" t="s">
        <v>16</v>
      </c>
      <c r="F593" t="s">
        <v>16</v>
      </c>
      <c r="G593">
        <v>2</v>
      </c>
      <c r="H593" t="s">
        <v>767</v>
      </c>
      <c r="I593" t="s">
        <v>768</v>
      </c>
      <c r="J593" t="s">
        <v>175</v>
      </c>
      <c r="K593" t="s">
        <v>40</v>
      </c>
      <c r="L593">
        <v>1</v>
      </c>
      <c r="M593" s="5">
        <v>2010</v>
      </c>
      <c r="N593" s="5">
        <f>+M593*1.3</f>
        <v>2613</v>
      </c>
      <c r="O593" s="2">
        <f>+N593-M593</f>
        <v>603</v>
      </c>
    </row>
    <row r="594" spans="1:15" x14ac:dyDescent="0.2">
      <c r="A594" t="s">
        <v>88</v>
      </c>
      <c r="B594">
        <v>3</v>
      </c>
      <c r="C594" t="s">
        <v>94</v>
      </c>
      <c r="D594" t="s">
        <v>89</v>
      </c>
      <c r="E594" t="s">
        <v>16</v>
      </c>
      <c r="F594" t="s">
        <v>16</v>
      </c>
      <c r="G594">
        <v>1</v>
      </c>
      <c r="H594" t="s">
        <v>769</v>
      </c>
      <c r="I594" t="s">
        <v>770</v>
      </c>
      <c r="J594" t="s">
        <v>771</v>
      </c>
      <c r="K594" t="s">
        <v>181</v>
      </c>
      <c r="L594">
        <v>1</v>
      </c>
      <c r="M594" s="5">
        <v>2093</v>
      </c>
      <c r="N594" s="5">
        <f>+M594*1.3</f>
        <v>2720.9</v>
      </c>
      <c r="O594" s="2">
        <f>+N594-M594</f>
        <v>627.90000000000009</v>
      </c>
    </row>
    <row r="595" spans="1:15" x14ac:dyDescent="0.2">
      <c r="A595" t="s">
        <v>88</v>
      </c>
      <c r="B595">
        <v>1</v>
      </c>
      <c r="C595" t="s">
        <v>94</v>
      </c>
      <c r="D595" t="s">
        <v>89</v>
      </c>
      <c r="E595" t="s">
        <v>16</v>
      </c>
      <c r="F595" t="s">
        <v>16</v>
      </c>
      <c r="G595">
        <v>4</v>
      </c>
      <c r="H595" t="s">
        <v>772</v>
      </c>
      <c r="I595" t="s">
        <v>773</v>
      </c>
      <c r="J595" t="s">
        <v>66</v>
      </c>
      <c r="K595" t="s">
        <v>27</v>
      </c>
      <c r="L595">
        <v>6</v>
      </c>
      <c r="M595" s="5">
        <v>13910</v>
      </c>
      <c r="N595" s="5">
        <f>+M595*1.3</f>
        <v>18083</v>
      </c>
      <c r="O595" s="2">
        <f>+N595-M595</f>
        <v>4173</v>
      </c>
    </row>
    <row r="596" spans="1:15" x14ac:dyDescent="0.2">
      <c r="A596" t="s">
        <v>88</v>
      </c>
      <c r="B596">
        <v>1</v>
      </c>
      <c r="C596" t="s">
        <v>94</v>
      </c>
      <c r="D596" t="s">
        <v>89</v>
      </c>
      <c r="E596" t="s">
        <v>16</v>
      </c>
      <c r="F596" t="s">
        <v>16</v>
      </c>
      <c r="G596">
        <v>64</v>
      </c>
      <c r="H596" t="s">
        <v>774</v>
      </c>
      <c r="I596" t="s">
        <v>775</v>
      </c>
      <c r="J596" t="s">
        <v>39</v>
      </c>
      <c r="K596" t="s">
        <v>40</v>
      </c>
      <c r="L596">
        <v>12</v>
      </c>
      <c r="M596" s="5">
        <v>32409</v>
      </c>
      <c r="N596" s="5">
        <f>+M596*1.3</f>
        <v>42131.700000000004</v>
      </c>
      <c r="O596" s="2">
        <f>+N596-M596</f>
        <v>9722.7000000000044</v>
      </c>
    </row>
    <row r="597" spans="1:15" x14ac:dyDescent="0.2">
      <c r="A597" t="s">
        <v>88</v>
      </c>
      <c r="B597">
        <v>1</v>
      </c>
      <c r="C597" t="s">
        <v>94</v>
      </c>
      <c r="D597" t="s">
        <v>89</v>
      </c>
      <c r="E597" t="s">
        <v>16</v>
      </c>
      <c r="F597" t="s">
        <v>16</v>
      </c>
      <c r="G597">
        <v>45</v>
      </c>
      <c r="H597" t="s">
        <v>776</v>
      </c>
      <c r="I597" t="s">
        <v>777</v>
      </c>
      <c r="J597" t="s">
        <v>778</v>
      </c>
      <c r="K597" t="s">
        <v>40</v>
      </c>
      <c r="L597">
        <v>1</v>
      </c>
      <c r="M597" s="5">
        <v>2130</v>
      </c>
      <c r="N597" s="5">
        <f>+M597*1.3</f>
        <v>2769</v>
      </c>
      <c r="O597" s="2">
        <f>+N597-M597</f>
        <v>639</v>
      </c>
    </row>
    <row r="598" spans="1:15" x14ac:dyDescent="0.2">
      <c r="A598" t="s">
        <v>88</v>
      </c>
      <c r="B598">
        <v>1</v>
      </c>
      <c r="C598" t="s">
        <v>94</v>
      </c>
      <c r="D598" t="s">
        <v>89</v>
      </c>
      <c r="E598" t="s">
        <v>16</v>
      </c>
      <c r="F598" t="s">
        <v>16</v>
      </c>
      <c r="G598">
        <v>25</v>
      </c>
      <c r="H598" t="s">
        <v>779</v>
      </c>
      <c r="I598" t="s">
        <v>780</v>
      </c>
      <c r="J598" t="s">
        <v>26</v>
      </c>
      <c r="K598" t="s">
        <v>27</v>
      </c>
      <c r="L598">
        <v>1</v>
      </c>
      <c r="M598" s="5">
        <v>10848</v>
      </c>
      <c r="N598" s="5">
        <f>+M598*1.3</f>
        <v>14102.4</v>
      </c>
      <c r="O598" s="2">
        <f>+N598-M598</f>
        <v>3254.3999999999996</v>
      </c>
    </row>
    <row r="599" spans="1:15" x14ac:dyDescent="0.2">
      <c r="A599" t="s">
        <v>88</v>
      </c>
      <c r="B599">
        <v>1</v>
      </c>
      <c r="C599" t="s">
        <v>94</v>
      </c>
      <c r="D599" t="s">
        <v>89</v>
      </c>
      <c r="E599" t="s">
        <v>16</v>
      </c>
      <c r="F599" t="s">
        <v>16</v>
      </c>
      <c r="G599">
        <v>58</v>
      </c>
      <c r="H599" t="s">
        <v>781</v>
      </c>
      <c r="I599" t="s">
        <v>782</v>
      </c>
      <c r="J599" t="s">
        <v>426</v>
      </c>
      <c r="K599" t="s">
        <v>40</v>
      </c>
      <c r="L599">
        <v>1</v>
      </c>
      <c r="M599" s="5">
        <v>2468</v>
      </c>
      <c r="N599" s="5">
        <f>+M599*1.3</f>
        <v>3208.4</v>
      </c>
      <c r="O599" s="2">
        <f>+N599-M599</f>
        <v>740.40000000000009</v>
      </c>
    </row>
    <row r="600" spans="1:15" x14ac:dyDescent="0.2">
      <c r="A600" t="s">
        <v>88</v>
      </c>
      <c r="B600">
        <v>3</v>
      </c>
      <c r="C600" t="s">
        <v>94</v>
      </c>
      <c r="D600" t="s">
        <v>89</v>
      </c>
      <c r="E600" t="s">
        <v>16</v>
      </c>
      <c r="F600" t="s">
        <v>16</v>
      </c>
      <c r="G600">
        <v>2</v>
      </c>
      <c r="H600" t="s">
        <v>783</v>
      </c>
      <c r="I600" t="s">
        <v>784</v>
      </c>
      <c r="J600" t="s">
        <v>771</v>
      </c>
      <c r="K600" t="s">
        <v>181</v>
      </c>
      <c r="L600">
        <v>12</v>
      </c>
      <c r="M600" s="5">
        <v>25647</v>
      </c>
      <c r="N600" s="5">
        <f>+M600*1.3</f>
        <v>33341.1</v>
      </c>
      <c r="O600" s="2">
        <f>+N600-M600</f>
        <v>7694.0999999999985</v>
      </c>
    </row>
    <row r="601" spans="1:15" x14ac:dyDescent="0.2">
      <c r="A601" t="s">
        <v>88</v>
      </c>
      <c r="B601">
        <v>1</v>
      </c>
      <c r="C601" t="s">
        <v>94</v>
      </c>
      <c r="D601" t="s">
        <v>89</v>
      </c>
      <c r="E601" t="s">
        <v>16</v>
      </c>
      <c r="F601" t="s">
        <v>16</v>
      </c>
      <c r="G601">
        <v>41</v>
      </c>
      <c r="H601" t="s">
        <v>785</v>
      </c>
      <c r="I601" t="s">
        <v>786</v>
      </c>
      <c r="J601" t="s">
        <v>97</v>
      </c>
      <c r="K601" t="s">
        <v>40</v>
      </c>
      <c r="L601">
        <v>1</v>
      </c>
      <c r="M601" s="5">
        <v>2076</v>
      </c>
      <c r="N601" s="5">
        <f>+M601*1.3</f>
        <v>2698.8</v>
      </c>
      <c r="O601" s="2">
        <f>+N601-M601</f>
        <v>622.80000000000018</v>
      </c>
    </row>
    <row r="602" spans="1:15" x14ac:dyDescent="0.2">
      <c r="A602" t="s">
        <v>88</v>
      </c>
      <c r="B602">
        <v>1</v>
      </c>
      <c r="C602" t="s">
        <v>94</v>
      </c>
      <c r="D602" t="s">
        <v>89</v>
      </c>
      <c r="E602" t="s">
        <v>16</v>
      </c>
      <c r="F602" t="s">
        <v>16</v>
      </c>
      <c r="G602">
        <v>20</v>
      </c>
      <c r="H602" t="s">
        <v>787</v>
      </c>
      <c r="I602" t="s">
        <v>788</v>
      </c>
      <c r="J602" t="s">
        <v>778</v>
      </c>
      <c r="K602" t="s">
        <v>98</v>
      </c>
      <c r="L602">
        <v>12</v>
      </c>
      <c r="M602" s="5">
        <v>26096</v>
      </c>
      <c r="N602" s="5">
        <f>+M602*1.3</f>
        <v>33924.800000000003</v>
      </c>
      <c r="O602" s="2">
        <f>+N602-M602</f>
        <v>7828.8000000000029</v>
      </c>
    </row>
    <row r="603" spans="1:15" x14ac:dyDescent="0.2">
      <c r="A603" t="s">
        <v>88</v>
      </c>
      <c r="B603">
        <v>1</v>
      </c>
      <c r="C603" t="s">
        <v>94</v>
      </c>
      <c r="D603" t="s">
        <v>89</v>
      </c>
      <c r="E603" t="s">
        <v>16</v>
      </c>
      <c r="F603" t="s">
        <v>16</v>
      </c>
      <c r="G603">
        <v>59</v>
      </c>
      <c r="H603" t="s">
        <v>789</v>
      </c>
      <c r="I603" t="s">
        <v>790</v>
      </c>
      <c r="J603" t="s">
        <v>97</v>
      </c>
      <c r="K603" t="s">
        <v>40</v>
      </c>
      <c r="L603">
        <v>1</v>
      </c>
      <c r="M603" s="5">
        <v>2570</v>
      </c>
      <c r="N603" s="5">
        <f>+M603*1.3</f>
        <v>3341</v>
      </c>
      <c r="O603" s="2">
        <f>+N603-M603</f>
        <v>771</v>
      </c>
    </row>
    <row r="604" spans="1:15" x14ac:dyDescent="0.2">
      <c r="A604" t="s">
        <v>88</v>
      </c>
      <c r="B604">
        <v>1</v>
      </c>
      <c r="C604" t="s">
        <v>14</v>
      </c>
      <c r="D604" t="s">
        <v>89</v>
      </c>
      <c r="E604" t="s">
        <v>16</v>
      </c>
      <c r="F604" t="s">
        <v>16</v>
      </c>
      <c r="G604">
        <v>54</v>
      </c>
      <c r="H604" t="s">
        <v>791</v>
      </c>
      <c r="I604" t="s">
        <v>792</v>
      </c>
      <c r="J604" t="s">
        <v>110</v>
      </c>
      <c r="K604" t="s">
        <v>40</v>
      </c>
      <c r="L604">
        <v>1</v>
      </c>
      <c r="M604" s="5">
        <v>2258</v>
      </c>
      <c r="N604" s="5">
        <f>+M604*1.3</f>
        <v>2935.4</v>
      </c>
      <c r="O604" s="2">
        <f>+N604-M604</f>
        <v>677.40000000000009</v>
      </c>
    </row>
    <row r="605" spans="1:15" x14ac:dyDescent="0.2">
      <c r="A605" t="s">
        <v>88</v>
      </c>
      <c r="B605">
        <v>1</v>
      </c>
      <c r="C605" t="s">
        <v>94</v>
      </c>
      <c r="D605" t="s">
        <v>89</v>
      </c>
      <c r="E605" t="s">
        <v>16</v>
      </c>
      <c r="F605" t="s">
        <v>16</v>
      </c>
      <c r="G605">
        <v>46</v>
      </c>
      <c r="H605" t="s">
        <v>793</v>
      </c>
      <c r="I605" t="s">
        <v>794</v>
      </c>
      <c r="J605" t="s">
        <v>97</v>
      </c>
      <c r="K605" t="s">
        <v>40</v>
      </c>
      <c r="L605">
        <v>1</v>
      </c>
      <c r="M605" s="5">
        <v>2145</v>
      </c>
      <c r="N605" s="5">
        <f>+M605*1.3</f>
        <v>2788.5</v>
      </c>
      <c r="O605" s="2">
        <f>+N605-M605</f>
        <v>643.5</v>
      </c>
    </row>
    <row r="606" spans="1:15" x14ac:dyDescent="0.2">
      <c r="A606" t="s">
        <v>88</v>
      </c>
      <c r="B606">
        <v>1</v>
      </c>
      <c r="C606" t="s">
        <v>94</v>
      </c>
      <c r="D606" t="s">
        <v>89</v>
      </c>
      <c r="E606" t="s">
        <v>16</v>
      </c>
      <c r="F606" t="s">
        <v>16</v>
      </c>
      <c r="G606">
        <v>48</v>
      </c>
      <c r="H606" t="s">
        <v>795</v>
      </c>
      <c r="I606" t="s">
        <v>796</v>
      </c>
      <c r="J606" t="s">
        <v>97</v>
      </c>
      <c r="K606" t="s">
        <v>40</v>
      </c>
      <c r="L606">
        <v>1</v>
      </c>
      <c r="M606" s="5">
        <v>2167</v>
      </c>
      <c r="N606" s="5">
        <f>+M606*1.3</f>
        <v>2817.1</v>
      </c>
      <c r="O606" s="2">
        <f>+N606-M606</f>
        <v>650.09999999999991</v>
      </c>
    </row>
    <row r="607" spans="1:15" x14ac:dyDescent="0.2">
      <c r="A607" t="s">
        <v>88</v>
      </c>
      <c r="B607">
        <v>1</v>
      </c>
      <c r="C607" t="s">
        <v>94</v>
      </c>
      <c r="D607" t="s">
        <v>89</v>
      </c>
      <c r="E607" t="s">
        <v>16</v>
      </c>
      <c r="F607" t="s">
        <v>16</v>
      </c>
      <c r="G607">
        <v>42</v>
      </c>
      <c r="H607" t="s">
        <v>797</v>
      </c>
      <c r="I607" t="s">
        <v>798</v>
      </c>
      <c r="J607" t="s">
        <v>369</v>
      </c>
      <c r="K607" t="s">
        <v>40</v>
      </c>
      <c r="L607">
        <v>12</v>
      </c>
      <c r="M607" s="5">
        <v>24967</v>
      </c>
      <c r="N607" s="5">
        <f>+M607*1.3</f>
        <v>32457.100000000002</v>
      </c>
      <c r="O607" s="2">
        <f>+N607-M607</f>
        <v>7490.1000000000022</v>
      </c>
    </row>
    <row r="608" spans="1:15" x14ac:dyDescent="0.2">
      <c r="A608" t="s">
        <v>88</v>
      </c>
      <c r="B608">
        <v>1</v>
      </c>
      <c r="C608" t="s">
        <v>94</v>
      </c>
      <c r="D608" t="s">
        <v>89</v>
      </c>
      <c r="E608" t="s">
        <v>16</v>
      </c>
      <c r="F608" t="s">
        <v>16</v>
      </c>
      <c r="G608">
        <v>40</v>
      </c>
      <c r="H608" t="s">
        <v>799</v>
      </c>
      <c r="I608" t="s">
        <v>800</v>
      </c>
      <c r="J608" t="s">
        <v>369</v>
      </c>
      <c r="K608" t="s">
        <v>40</v>
      </c>
      <c r="L608">
        <v>1</v>
      </c>
      <c r="M608" s="5">
        <v>2038</v>
      </c>
      <c r="N608" s="5">
        <f>+M608*1.3</f>
        <v>2649.4</v>
      </c>
      <c r="O608" s="2">
        <f>+N608-M608</f>
        <v>611.40000000000009</v>
      </c>
    </row>
    <row r="609" spans="1:15" x14ac:dyDescent="0.2">
      <c r="A609" t="s">
        <v>88</v>
      </c>
      <c r="B609">
        <v>1</v>
      </c>
      <c r="C609" t="s">
        <v>14</v>
      </c>
      <c r="D609" t="s">
        <v>89</v>
      </c>
      <c r="E609" t="s">
        <v>16</v>
      </c>
      <c r="F609" t="s">
        <v>16</v>
      </c>
      <c r="G609">
        <v>21</v>
      </c>
      <c r="H609" t="s">
        <v>801</v>
      </c>
      <c r="I609" t="s">
        <v>802</v>
      </c>
      <c r="J609" t="s">
        <v>97</v>
      </c>
      <c r="K609" t="s">
        <v>98</v>
      </c>
      <c r="L609">
        <v>12</v>
      </c>
      <c r="M609" s="5">
        <v>26483</v>
      </c>
      <c r="N609" s="5">
        <f>+M609*1.3</f>
        <v>34427.9</v>
      </c>
      <c r="O609" s="2">
        <f>+N609-M609</f>
        <v>7944.9000000000015</v>
      </c>
    </row>
    <row r="610" spans="1:15" x14ac:dyDescent="0.2">
      <c r="A610" t="s">
        <v>88</v>
      </c>
      <c r="B610">
        <v>1</v>
      </c>
      <c r="C610" t="s">
        <v>14</v>
      </c>
      <c r="D610" t="s">
        <v>89</v>
      </c>
      <c r="E610" t="s">
        <v>16</v>
      </c>
      <c r="F610" t="s">
        <v>16</v>
      </c>
      <c r="G610">
        <v>47</v>
      </c>
      <c r="H610" t="s">
        <v>803</v>
      </c>
      <c r="I610" t="s">
        <v>804</v>
      </c>
      <c r="J610" t="s">
        <v>97</v>
      </c>
      <c r="K610" t="s">
        <v>40</v>
      </c>
      <c r="L610">
        <v>1</v>
      </c>
      <c r="M610" s="5">
        <v>2161</v>
      </c>
      <c r="N610" s="5">
        <f>+M610*1.3</f>
        <v>2809.3</v>
      </c>
      <c r="O610" s="2">
        <f>+N610-M610</f>
        <v>648.30000000000018</v>
      </c>
    </row>
    <row r="611" spans="1:15" x14ac:dyDescent="0.2">
      <c r="A611" t="s">
        <v>88</v>
      </c>
      <c r="B611">
        <v>1</v>
      </c>
      <c r="C611" t="s">
        <v>94</v>
      </c>
      <c r="D611" t="s">
        <v>89</v>
      </c>
      <c r="E611" t="s">
        <v>16</v>
      </c>
      <c r="F611" t="s">
        <v>16</v>
      </c>
      <c r="G611">
        <v>27</v>
      </c>
      <c r="H611" t="s">
        <v>805</v>
      </c>
      <c r="I611" t="s">
        <v>806</v>
      </c>
      <c r="J611" t="s">
        <v>66</v>
      </c>
      <c r="K611" t="s">
        <v>27</v>
      </c>
      <c r="L611">
        <v>6</v>
      </c>
      <c r="M611" s="5">
        <v>66469</v>
      </c>
      <c r="N611" s="5">
        <f>+M611*1.3</f>
        <v>86409.7</v>
      </c>
      <c r="O611" s="2">
        <f>+N611-M611</f>
        <v>19940.699999999997</v>
      </c>
    </row>
    <row r="612" spans="1:15" x14ac:dyDescent="0.2">
      <c r="A612" t="s">
        <v>88</v>
      </c>
      <c r="B612">
        <v>1</v>
      </c>
      <c r="C612" t="s">
        <v>14</v>
      </c>
      <c r="D612" t="s">
        <v>89</v>
      </c>
      <c r="E612" t="s">
        <v>16</v>
      </c>
      <c r="F612" t="s">
        <v>16</v>
      </c>
      <c r="G612">
        <v>35</v>
      </c>
      <c r="H612" t="s">
        <v>807</v>
      </c>
      <c r="I612" t="s">
        <v>808</v>
      </c>
      <c r="J612" t="s">
        <v>97</v>
      </c>
      <c r="K612" t="s">
        <v>40</v>
      </c>
      <c r="L612">
        <v>1</v>
      </c>
      <c r="M612" s="5">
        <v>1917</v>
      </c>
      <c r="N612" s="5">
        <f>+M612*1.3</f>
        <v>2492.1</v>
      </c>
      <c r="O612" s="2">
        <f>+N612-M612</f>
        <v>575.09999999999991</v>
      </c>
    </row>
    <row r="613" spans="1:15" x14ac:dyDescent="0.2">
      <c r="A613" t="s">
        <v>88</v>
      </c>
      <c r="B613">
        <v>1</v>
      </c>
      <c r="C613" t="s">
        <v>94</v>
      </c>
      <c r="D613" t="s">
        <v>89</v>
      </c>
      <c r="E613" t="s">
        <v>16</v>
      </c>
      <c r="F613" t="s">
        <v>16</v>
      </c>
      <c r="G613">
        <v>18</v>
      </c>
      <c r="H613" t="s">
        <v>809</v>
      </c>
      <c r="I613" t="s">
        <v>810</v>
      </c>
      <c r="J613" t="s">
        <v>26</v>
      </c>
      <c r="K613" t="s">
        <v>27</v>
      </c>
      <c r="L613">
        <v>1</v>
      </c>
      <c r="M613" s="5">
        <v>8858</v>
      </c>
      <c r="N613" s="5">
        <f>+M613*1.3</f>
        <v>11515.4</v>
      </c>
      <c r="O613" s="2">
        <f>+N613-M613</f>
        <v>2657.3999999999996</v>
      </c>
    </row>
    <row r="614" spans="1:15" x14ac:dyDescent="0.2">
      <c r="A614" t="s">
        <v>88</v>
      </c>
      <c r="B614">
        <v>1</v>
      </c>
      <c r="C614" t="s">
        <v>94</v>
      </c>
      <c r="D614" t="s">
        <v>89</v>
      </c>
      <c r="E614" t="s">
        <v>16</v>
      </c>
      <c r="F614" t="s">
        <v>16</v>
      </c>
      <c r="G614">
        <v>16</v>
      </c>
      <c r="H614" t="s">
        <v>811</v>
      </c>
      <c r="I614" t="s">
        <v>812</v>
      </c>
      <c r="J614" t="s">
        <v>175</v>
      </c>
      <c r="K614" t="s">
        <v>40</v>
      </c>
      <c r="L614">
        <v>1</v>
      </c>
      <c r="M614" s="5">
        <v>1242</v>
      </c>
      <c r="N614" s="5">
        <f>+M614*1.3</f>
        <v>1614.6000000000001</v>
      </c>
      <c r="O614" s="2">
        <f>+N614-M614</f>
        <v>372.60000000000014</v>
      </c>
    </row>
    <row r="615" spans="1:15" x14ac:dyDescent="0.2">
      <c r="A615" t="s">
        <v>88</v>
      </c>
      <c r="B615">
        <v>1</v>
      </c>
      <c r="C615" t="s">
        <v>94</v>
      </c>
      <c r="D615" t="s">
        <v>89</v>
      </c>
      <c r="E615" t="s">
        <v>16</v>
      </c>
      <c r="F615" t="s">
        <v>16</v>
      </c>
      <c r="G615">
        <v>4</v>
      </c>
      <c r="H615" t="s">
        <v>813</v>
      </c>
      <c r="I615" t="s">
        <v>814</v>
      </c>
      <c r="J615" t="s">
        <v>255</v>
      </c>
      <c r="K615" t="s">
        <v>40</v>
      </c>
      <c r="L615">
        <v>1</v>
      </c>
      <c r="M615" s="5">
        <v>560</v>
      </c>
      <c r="N615" s="5">
        <f>+M615*1.3</f>
        <v>728</v>
      </c>
      <c r="O615" s="2">
        <f>+N615-M615</f>
        <v>168</v>
      </c>
    </row>
    <row r="616" spans="1:15" x14ac:dyDescent="0.2">
      <c r="A616" t="s">
        <v>88</v>
      </c>
      <c r="B616">
        <v>1</v>
      </c>
      <c r="C616" t="s">
        <v>94</v>
      </c>
      <c r="D616" t="s">
        <v>89</v>
      </c>
      <c r="E616" t="s">
        <v>16</v>
      </c>
      <c r="F616" t="s">
        <v>16</v>
      </c>
      <c r="G616">
        <v>1</v>
      </c>
      <c r="H616" t="s">
        <v>815</v>
      </c>
      <c r="I616" t="s">
        <v>816</v>
      </c>
      <c r="J616" t="s">
        <v>255</v>
      </c>
      <c r="K616" t="s">
        <v>40</v>
      </c>
      <c r="L616">
        <v>1</v>
      </c>
      <c r="M616" s="5">
        <v>527</v>
      </c>
      <c r="N616" s="5">
        <f>+M616*1.3</f>
        <v>685.1</v>
      </c>
      <c r="O616" s="2">
        <f>+N616-M616</f>
        <v>158.10000000000002</v>
      </c>
    </row>
    <row r="617" spans="1:15" x14ac:dyDescent="0.2">
      <c r="A617" t="s">
        <v>88</v>
      </c>
      <c r="B617">
        <v>1</v>
      </c>
      <c r="C617" t="s">
        <v>94</v>
      </c>
      <c r="D617" t="s">
        <v>89</v>
      </c>
      <c r="E617" t="s">
        <v>16</v>
      </c>
      <c r="F617" t="s">
        <v>16</v>
      </c>
      <c r="G617">
        <v>3</v>
      </c>
      <c r="H617" t="s">
        <v>817</v>
      </c>
      <c r="I617" t="s">
        <v>818</v>
      </c>
      <c r="J617" t="s">
        <v>255</v>
      </c>
      <c r="K617" t="s">
        <v>40</v>
      </c>
      <c r="L617">
        <v>1</v>
      </c>
      <c r="M617" s="5">
        <v>545</v>
      </c>
      <c r="N617" s="5">
        <f>+M617*1.3</f>
        <v>708.5</v>
      </c>
      <c r="O617" s="2">
        <f>+N617-M617</f>
        <v>163.5</v>
      </c>
    </row>
    <row r="618" spans="1:15" x14ac:dyDescent="0.2">
      <c r="A618" t="s">
        <v>88</v>
      </c>
      <c r="B618">
        <v>1</v>
      </c>
      <c r="C618" t="s">
        <v>94</v>
      </c>
      <c r="D618" t="s">
        <v>89</v>
      </c>
      <c r="E618" t="s">
        <v>16</v>
      </c>
      <c r="F618" t="s">
        <v>16</v>
      </c>
      <c r="G618">
        <v>5</v>
      </c>
      <c r="H618" t="s">
        <v>819</v>
      </c>
      <c r="I618" t="s">
        <v>820</v>
      </c>
      <c r="J618" t="s">
        <v>255</v>
      </c>
      <c r="K618" t="s">
        <v>40</v>
      </c>
      <c r="L618">
        <v>1</v>
      </c>
      <c r="M618" s="5">
        <v>574</v>
      </c>
      <c r="N618" s="5">
        <f>+M618*1.3</f>
        <v>746.2</v>
      </c>
      <c r="O618" s="2">
        <f>+N618-M618</f>
        <v>172.20000000000005</v>
      </c>
    </row>
    <row r="619" spans="1:15" x14ac:dyDescent="0.2">
      <c r="A619" t="s">
        <v>88</v>
      </c>
      <c r="B619">
        <v>1</v>
      </c>
      <c r="C619" t="s">
        <v>94</v>
      </c>
      <c r="D619" t="s">
        <v>89</v>
      </c>
      <c r="E619" t="s">
        <v>16</v>
      </c>
      <c r="F619" t="s">
        <v>16</v>
      </c>
      <c r="G619">
        <v>6</v>
      </c>
      <c r="H619" t="s">
        <v>821</v>
      </c>
      <c r="I619" t="s">
        <v>822</v>
      </c>
      <c r="J619" t="s">
        <v>255</v>
      </c>
      <c r="K619" t="s">
        <v>40</v>
      </c>
      <c r="L619">
        <v>1</v>
      </c>
      <c r="M619" s="5">
        <v>589</v>
      </c>
      <c r="N619" s="5">
        <f>+M619*1.3</f>
        <v>765.7</v>
      </c>
      <c r="O619" s="2">
        <f>+N619-M619</f>
        <v>176.70000000000005</v>
      </c>
    </row>
    <row r="620" spans="1:15" x14ac:dyDescent="0.2">
      <c r="A620" t="s">
        <v>88</v>
      </c>
      <c r="B620">
        <v>1</v>
      </c>
      <c r="C620" t="s">
        <v>94</v>
      </c>
      <c r="D620" t="s">
        <v>89</v>
      </c>
      <c r="E620" t="s">
        <v>16</v>
      </c>
      <c r="F620" t="s">
        <v>16</v>
      </c>
      <c r="G620">
        <v>2</v>
      </c>
      <c r="H620" t="s">
        <v>823</v>
      </c>
      <c r="I620" t="s">
        <v>824</v>
      </c>
      <c r="J620" t="s">
        <v>255</v>
      </c>
      <c r="K620" t="s">
        <v>40</v>
      </c>
      <c r="L620">
        <v>1</v>
      </c>
      <c r="M620" s="5">
        <v>536</v>
      </c>
      <c r="N620" s="5">
        <f>+M620*1.3</f>
        <v>696.80000000000007</v>
      </c>
      <c r="O620" s="2">
        <f>+N620-M620</f>
        <v>160.80000000000007</v>
      </c>
    </row>
    <row r="621" spans="1:15" x14ac:dyDescent="0.2">
      <c r="A621" t="s">
        <v>13</v>
      </c>
      <c r="B621">
        <v>1</v>
      </c>
      <c r="C621" t="s">
        <v>126</v>
      </c>
      <c r="D621" t="s">
        <v>127</v>
      </c>
      <c r="E621" t="s">
        <v>16</v>
      </c>
      <c r="F621" t="s">
        <v>16</v>
      </c>
      <c r="G621">
        <v>1</v>
      </c>
      <c r="H621" t="s">
        <v>825</v>
      </c>
      <c r="I621" t="s">
        <v>826</v>
      </c>
      <c r="J621" t="s">
        <v>255</v>
      </c>
      <c r="K621" t="s">
        <v>98</v>
      </c>
      <c r="L621">
        <v>24</v>
      </c>
      <c r="M621" s="5">
        <v>18938</v>
      </c>
      <c r="N621" s="5">
        <f>+M621*1.3</f>
        <v>24619.4</v>
      </c>
      <c r="O621" s="2">
        <f>+N621-M621</f>
        <v>5681.4000000000015</v>
      </c>
    </row>
    <row r="622" spans="1:15" x14ac:dyDescent="0.2">
      <c r="A622" t="s">
        <v>21</v>
      </c>
      <c r="B622">
        <v>1</v>
      </c>
      <c r="C622" t="s">
        <v>126</v>
      </c>
      <c r="D622" t="s">
        <v>127</v>
      </c>
      <c r="E622" t="s">
        <v>16</v>
      </c>
      <c r="F622" t="s">
        <v>16</v>
      </c>
      <c r="G622">
        <v>1</v>
      </c>
      <c r="H622" t="s">
        <v>825</v>
      </c>
      <c r="I622" t="s">
        <v>826</v>
      </c>
      <c r="J622" t="s">
        <v>255</v>
      </c>
      <c r="K622" t="s">
        <v>98</v>
      </c>
      <c r="L622">
        <v>24</v>
      </c>
      <c r="M622" s="5">
        <v>18938</v>
      </c>
      <c r="N622" s="5">
        <f>+M622*1.3</f>
        <v>24619.4</v>
      </c>
      <c r="O622" s="2">
        <f>+N622-M622</f>
        <v>5681.4000000000015</v>
      </c>
    </row>
    <row r="623" spans="1:15" x14ac:dyDescent="0.2">
      <c r="A623" t="s">
        <v>28</v>
      </c>
      <c r="B623">
        <v>3</v>
      </c>
      <c r="C623" t="s">
        <v>126</v>
      </c>
      <c r="D623" t="s">
        <v>127</v>
      </c>
      <c r="E623" t="s">
        <v>16</v>
      </c>
      <c r="F623" t="s">
        <v>16</v>
      </c>
      <c r="G623">
        <v>1</v>
      </c>
      <c r="H623" t="s">
        <v>825</v>
      </c>
      <c r="I623" t="s">
        <v>826</v>
      </c>
      <c r="J623" t="s">
        <v>255</v>
      </c>
      <c r="K623" t="s">
        <v>98</v>
      </c>
      <c r="L623">
        <v>24</v>
      </c>
      <c r="M623" s="5">
        <v>18938</v>
      </c>
      <c r="N623" s="5">
        <f>+M623*1.3</f>
        <v>24619.4</v>
      </c>
      <c r="O623" s="2">
        <f>+N623-M623</f>
        <v>5681.4000000000015</v>
      </c>
    </row>
    <row r="624" spans="1:15" x14ac:dyDescent="0.2">
      <c r="A624" t="s">
        <v>13</v>
      </c>
      <c r="B624">
        <v>1</v>
      </c>
      <c r="C624" t="s">
        <v>126</v>
      </c>
      <c r="D624" t="s">
        <v>127</v>
      </c>
      <c r="E624" t="s">
        <v>16</v>
      </c>
      <c r="F624" t="s">
        <v>16</v>
      </c>
      <c r="G624">
        <v>1</v>
      </c>
      <c r="H624" t="s">
        <v>827</v>
      </c>
      <c r="I624" t="s">
        <v>828</v>
      </c>
      <c r="J624" t="s">
        <v>255</v>
      </c>
      <c r="K624" t="s">
        <v>40</v>
      </c>
      <c r="L624">
        <v>1</v>
      </c>
      <c r="M624" s="5">
        <v>773</v>
      </c>
      <c r="N624" s="5">
        <f>+M624*1.3</f>
        <v>1004.9000000000001</v>
      </c>
      <c r="O624" s="2">
        <f>+N624-M624</f>
        <v>231.90000000000009</v>
      </c>
    </row>
    <row r="625" spans="1:15" x14ac:dyDescent="0.2">
      <c r="A625" t="s">
        <v>21</v>
      </c>
      <c r="B625">
        <v>1</v>
      </c>
      <c r="C625" t="s">
        <v>126</v>
      </c>
      <c r="D625" t="s">
        <v>127</v>
      </c>
      <c r="E625" t="s">
        <v>16</v>
      </c>
      <c r="F625" t="s">
        <v>16</v>
      </c>
      <c r="G625">
        <v>1</v>
      </c>
      <c r="H625" t="s">
        <v>827</v>
      </c>
      <c r="I625" t="s">
        <v>828</v>
      </c>
      <c r="J625" t="s">
        <v>255</v>
      </c>
      <c r="K625" t="s">
        <v>40</v>
      </c>
      <c r="L625">
        <v>1</v>
      </c>
      <c r="M625" s="5">
        <v>773</v>
      </c>
      <c r="N625" s="5">
        <f>+M625*1.3</f>
        <v>1004.9000000000001</v>
      </c>
      <c r="O625" s="2">
        <f>+N625-M625</f>
        <v>231.90000000000009</v>
      </c>
    </row>
    <row r="626" spans="1:15" x14ac:dyDescent="0.2">
      <c r="A626" t="s">
        <v>28</v>
      </c>
      <c r="B626">
        <v>3</v>
      </c>
      <c r="C626" t="s">
        <v>126</v>
      </c>
      <c r="D626" t="s">
        <v>127</v>
      </c>
      <c r="E626" t="s">
        <v>16</v>
      </c>
      <c r="F626" t="s">
        <v>16</v>
      </c>
      <c r="G626">
        <v>1</v>
      </c>
      <c r="H626" t="s">
        <v>827</v>
      </c>
      <c r="I626" t="s">
        <v>828</v>
      </c>
      <c r="J626" t="s">
        <v>255</v>
      </c>
      <c r="K626" t="s">
        <v>40</v>
      </c>
      <c r="L626">
        <v>1</v>
      </c>
      <c r="M626" s="5">
        <v>773</v>
      </c>
      <c r="N626" s="5">
        <f>+M626*1.3</f>
        <v>1004.9000000000001</v>
      </c>
      <c r="O626" s="2">
        <f>+N626-M626</f>
        <v>231.90000000000009</v>
      </c>
    </row>
    <row r="627" spans="1:15" x14ac:dyDescent="0.2">
      <c r="A627" t="s">
        <v>13</v>
      </c>
      <c r="B627">
        <v>2</v>
      </c>
      <c r="C627" t="s">
        <v>126</v>
      </c>
      <c r="D627" t="s">
        <v>127</v>
      </c>
      <c r="E627" t="s">
        <v>16</v>
      </c>
      <c r="F627" t="s">
        <v>16</v>
      </c>
      <c r="G627">
        <v>2</v>
      </c>
      <c r="H627" t="s">
        <v>829</v>
      </c>
      <c r="I627" t="s">
        <v>830</v>
      </c>
      <c r="J627" t="s">
        <v>26</v>
      </c>
      <c r="K627" t="s">
        <v>27</v>
      </c>
      <c r="L627">
        <v>6</v>
      </c>
      <c r="M627" s="5">
        <v>43800</v>
      </c>
      <c r="N627" s="5">
        <f>+M627*1.3</f>
        <v>56940</v>
      </c>
      <c r="O627" s="2">
        <f>+N627-M627</f>
        <v>13140</v>
      </c>
    </row>
    <row r="628" spans="1:15" x14ac:dyDescent="0.2">
      <c r="A628" t="s">
        <v>21</v>
      </c>
      <c r="B628">
        <v>1</v>
      </c>
      <c r="C628" t="s">
        <v>126</v>
      </c>
      <c r="D628" t="s">
        <v>127</v>
      </c>
      <c r="E628" t="s">
        <v>16</v>
      </c>
      <c r="F628" t="s">
        <v>16</v>
      </c>
      <c r="G628">
        <v>2</v>
      </c>
      <c r="H628" t="s">
        <v>829</v>
      </c>
      <c r="I628" t="s">
        <v>830</v>
      </c>
      <c r="J628" t="s">
        <v>26</v>
      </c>
      <c r="K628" t="s">
        <v>27</v>
      </c>
      <c r="L628">
        <v>6</v>
      </c>
      <c r="M628" s="5">
        <v>43800</v>
      </c>
      <c r="N628" s="5">
        <f>+M628*1.3</f>
        <v>56940</v>
      </c>
      <c r="O628" s="2">
        <f>+N628-M628</f>
        <v>13140</v>
      </c>
    </row>
    <row r="629" spans="1:15" x14ac:dyDescent="0.2">
      <c r="A629" t="s">
        <v>28</v>
      </c>
      <c r="B629">
        <v>2</v>
      </c>
      <c r="C629" t="s">
        <v>126</v>
      </c>
      <c r="D629" t="s">
        <v>127</v>
      </c>
      <c r="E629" t="s">
        <v>16</v>
      </c>
      <c r="F629" t="s">
        <v>16</v>
      </c>
      <c r="G629">
        <v>2</v>
      </c>
      <c r="H629" t="s">
        <v>829</v>
      </c>
      <c r="I629" t="s">
        <v>830</v>
      </c>
      <c r="J629" t="s">
        <v>26</v>
      </c>
      <c r="K629" t="s">
        <v>27</v>
      </c>
      <c r="L629">
        <v>6</v>
      </c>
      <c r="M629" s="5">
        <v>43800</v>
      </c>
      <c r="N629" s="5">
        <f>+M629*1.3</f>
        <v>56940</v>
      </c>
      <c r="O629" s="2">
        <f>+N629-M629</f>
        <v>13140</v>
      </c>
    </row>
    <row r="630" spans="1:15" x14ac:dyDescent="0.2">
      <c r="A630" t="s">
        <v>13</v>
      </c>
      <c r="B630">
        <v>2</v>
      </c>
      <c r="C630" t="s">
        <v>126</v>
      </c>
      <c r="D630" t="s">
        <v>127</v>
      </c>
      <c r="E630" t="s">
        <v>16</v>
      </c>
      <c r="F630" t="s">
        <v>16</v>
      </c>
      <c r="G630">
        <v>1</v>
      </c>
      <c r="H630" t="s">
        <v>831</v>
      </c>
      <c r="I630" t="s">
        <v>832</v>
      </c>
      <c r="J630" t="s">
        <v>26</v>
      </c>
      <c r="K630" t="s">
        <v>27</v>
      </c>
      <c r="L630">
        <v>1</v>
      </c>
      <c r="M630" s="5">
        <v>7149</v>
      </c>
      <c r="N630" s="5">
        <f>+M630*1.3</f>
        <v>9293.7000000000007</v>
      </c>
      <c r="O630" s="2">
        <f>+N630-M630</f>
        <v>2144.7000000000007</v>
      </c>
    </row>
    <row r="631" spans="1:15" x14ac:dyDescent="0.2">
      <c r="A631" t="s">
        <v>21</v>
      </c>
      <c r="B631">
        <v>1</v>
      </c>
      <c r="C631" t="s">
        <v>126</v>
      </c>
      <c r="D631" t="s">
        <v>127</v>
      </c>
      <c r="E631" t="s">
        <v>16</v>
      </c>
      <c r="F631" t="s">
        <v>16</v>
      </c>
      <c r="G631">
        <v>1</v>
      </c>
      <c r="H631" t="s">
        <v>831</v>
      </c>
      <c r="I631" t="s">
        <v>832</v>
      </c>
      <c r="J631" t="s">
        <v>26</v>
      </c>
      <c r="K631" t="s">
        <v>27</v>
      </c>
      <c r="L631">
        <v>1</v>
      </c>
      <c r="M631" s="5">
        <v>7149</v>
      </c>
      <c r="N631" s="5">
        <f>+M631*1.3</f>
        <v>9293.7000000000007</v>
      </c>
      <c r="O631" s="2">
        <f>+N631-M631</f>
        <v>2144.7000000000007</v>
      </c>
    </row>
    <row r="632" spans="1:15" x14ac:dyDescent="0.2">
      <c r="A632" t="s">
        <v>28</v>
      </c>
      <c r="B632">
        <v>2</v>
      </c>
      <c r="C632" t="s">
        <v>126</v>
      </c>
      <c r="D632" t="s">
        <v>127</v>
      </c>
      <c r="E632" t="s">
        <v>16</v>
      </c>
      <c r="F632" t="s">
        <v>16</v>
      </c>
      <c r="G632">
        <v>1</v>
      </c>
      <c r="H632" t="s">
        <v>831</v>
      </c>
      <c r="I632" t="s">
        <v>832</v>
      </c>
      <c r="J632" t="s">
        <v>26</v>
      </c>
      <c r="K632" t="s">
        <v>27</v>
      </c>
      <c r="L632">
        <v>1</v>
      </c>
      <c r="M632" s="5">
        <v>7149</v>
      </c>
      <c r="N632" s="5">
        <f>+M632*1.3</f>
        <v>9293.7000000000007</v>
      </c>
      <c r="O632" s="2">
        <f>+N632-M632</f>
        <v>2144.7000000000007</v>
      </c>
    </row>
    <row r="633" spans="1:15" x14ac:dyDescent="0.2">
      <c r="A633" t="s">
        <v>88</v>
      </c>
      <c r="B633">
        <v>1</v>
      </c>
      <c r="C633" t="s">
        <v>94</v>
      </c>
      <c r="D633" t="s">
        <v>89</v>
      </c>
      <c r="E633" t="s">
        <v>16</v>
      </c>
      <c r="F633" t="s">
        <v>16</v>
      </c>
      <c r="G633">
        <v>5</v>
      </c>
      <c r="H633" t="s">
        <v>833</v>
      </c>
      <c r="I633" t="s">
        <v>834</v>
      </c>
      <c r="J633" t="s">
        <v>66</v>
      </c>
      <c r="K633" t="s">
        <v>27</v>
      </c>
      <c r="L633">
        <v>1</v>
      </c>
      <c r="M633" s="5">
        <v>2471</v>
      </c>
      <c r="N633" s="5">
        <f>+M633*1.3</f>
        <v>3212.3</v>
      </c>
      <c r="O633" s="2">
        <f>+N633-M633</f>
        <v>741.30000000000018</v>
      </c>
    </row>
    <row r="634" spans="1:15" x14ac:dyDescent="0.2">
      <c r="A634" t="s">
        <v>88</v>
      </c>
      <c r="B634">
        <v>1</v>
      </c>
      <c r="C634" t="s">
        <v>94</v>
      </c>
      <c r="D634" t="s">
        <v>89</v>
      </c>
      <c r="E634" t="s">
        <v>16</v>
      </c>
      <c r="F634" t="s">
        <v>16</v>
      </c>
      <c r="G634">
        <v>10</v>
      </c>
      <c r="H634" t="s">
        <v>835</v>
      </c>
      <c r="I634" t="s">
        <v>836</v>
      </c>
      <c r="J634" t="s">
        <v>39</v>
      </c>
      <c r="K634" t="s">
        <v>40</v>
      </c>
      <c r="L634">
        <v>1</v>
      </c>
      <c r="M634" s="5">
        <v>1140</v>
      </c>
      <c r="N634" s="5">
        <f>+M634*1.3</f>
        <v>1482</v>
      </c>
      <c r="O634" s="2">
        <f>+N634-M634</f>
        <v>342</v>
      </c>
    </row>
    <row r="635" spans="1:15" x14ac:dyDescent="0.2">
      <c r="A635" t="s">
        <v>88</v>
      </c>
      <c r="B635">
        <v>1</v>
      </c>
      <c r="C635" t="s">
        <v>161</v>
      </c>
      <c r="D635" t="s">
        <v>89</v>
      </c>
      <c r="E635" t="s">
        <v>16</v>
      </c>
      <c r="F635" t="s">
        <v>16</v>
      </c>
      <c r="G635">
        <v>51</v>
      </c>
      <c r="H635" t="s">
        <v>837</v>
      </c>
      <c r="I635" t="s">
        <v>838</v>
      </c>
      <c r="J635" t="s">
        <v>152</v>
      </c>
      <c r="K635" t="s">
        <v>40</v>
      </c>
      <c r="L635">
        <v>1</v>
      </c>
      <c r="M635" s="5">
        <v>2226</v>
      </c>
      <c r="N635" s="5">
        <f>+M635*1.3</f>
        <v>2893.8</v>
      </c>
      <c r="O635" s="2">
        <f>+N635-M635</f>
        <v>667.80000000000018</v>
      </c>
    </row>
    <row r="636" spans="1:15" x14ac:dyDescent="0.2">
      <c r="A636" t="s">
        <v>88</v>
      </c>
      <c r="B636">
        <v>1</v>
      </c>
      <c r="C636" t="s">
        <v>161</v>
      </c>
      <c r="D636" t="s">
        <v>89</v>
      </c>
      <c r="E636" t="s">
        <v>16</v>
      </c>
      <c r="F636" t="s">
        <v>16</v>
      </c>
      <c r="G636">
        <v>63</v>
      </c>
      <c r="H636" t="s">
        <v>839</v>
      </c>
      <c r="I636" t="s">
        <v>840</v>
      </c>
      <c r="J636" t="s">
        <v>152</v>
      </c>
      <c r="K636" t="s">
        <v>40</v>
      </c>
      <c r="L636">
        <v>1</v>
      </c>
      <c r="M636" s="5">
        <v>2657</v>
      </c>
      <c r="N636" s="5">
        <f>+M636*1.3</f>
        <v>3454.1</v>
      </c>
      <c r="O636" s="2">
        <f>+N636-M636</f>
        <v>797.09999999999991</v>
      </c>
    </row>
    <row r="637" spans="1:15" x14ac:dyDescent="0.2">
      <c r="A637" t="s">
        <v>88</v>
      </c>
      <c r="B637">
        <v>1</v>
      </c>
      <c r="C637" t="s">
        <v>161</v>
      </c>
      <c r="D637" t="s">
        <v>89</v>
      </c>
      <c r="E637" t="s">
        <v>16</v>
      </c>
      <c r="F637" t="s">
        <v>16</v>
      </c>
      <c r="G637">
        <v>18</v>
      </c>
      <c r="H637" t="s">
        <v>841</v>
      </c>
      <c r="I637" t="s">
        <v>842</v>
      </c>
      <c r="J637" t="s">
        <v>175</v>
      </c>
      <c r="K637" t="s">
        <v>98</v>
      </c>
      <c r="L637">
        <v>12</v>
      </c>
      <c r="M637" s="5">
        <v>20087</v>
      </c>
      <c r="N637" s="5">
        <f>+M637*1.3</f>
        <v>26113.100000000002</v>
      </c>
      <c r="O637" s="2">
        <f>+N637-M637</f>
        <v>6026.1000000000022</v>
      </c>
    </row>
    <row r="638" spans="1:15" x14ac:dyDescent="0.2">
      <c r="A638" t="s">
        <v>88</v>
      </c>
      <c r="B638">
        <v>1</v>
      </c>
      <c r="C638" t="s">
        <v>161</v>
      </c>
      <c r="D638" t="s">
        <v>89</v>
      </c>
      <c r="E638" t="s">
        <v>16</v>
      </c>
      <c r="F638" t="s">
        <v>16</v>
      </c>
      <c r="G638">
        <v>24</v>
      </c>
      <c r="H638" t="s">
        <v>843</v>
      </c>
      <c r="I638" t="s">
        <v>844</v>
      </c>
      <c r="J638" t="s">
        <v>175</v>
      </c>
      <c r="K638" t="s">
        <v>40</v>
      </c>
      <c r="L638">
        <v>1</v>
      </c>
      <c r="M638" s="5">
        <v>1639</v>
      </c>
      <c r="N638" s="5">
        <f>+M638*1.3</f>
        <v>2130.7000000000003</v>
      </c>
      <c r="O638" s="2">
        <f>+N638-M638</f>
        <v>491.70000000000027</v>
      </c>
    </row>
    <row r="639" spans="1:15" x14ac:dyDescent="0.2">
      <c r="A639" t="s">
        <v>88</v>
      </c>
      <c r="B639">
        <v>1</v>
      </c>
      <c r="C639" t="s">
        <v>161</v>
      </c>
      <c r="D639" t="s">
        <v>89</v>
      </c>
      <c r="E639" t="s">
        <v>16</v>
      </c>
      <c r="F639" t="s">
        <v>16</v>
      </c>
      <c r="G639">
        <v>31</v>
      </c>
      <c r="H639" t="s">
        <v>845</v>
      </c>
      <c r="I639" t="s">
        <v>846</v>
      </c>
      <c r="J639" t="s">
        <v>175</v>
      </c>
      <c r="K639" t="s">
        <v>40</v>
      </c>
      <c r="L639">
        <v>1</v>
      </c>
      <c r="M639" s="5">
        <v>1769</v>
      </c>
      <c r="N639" s="5">
        <f>+M639*1.3</f>
        <v>2299.7000000000003</v>
      </c>
      <c r="O639" s="2">
        <f>+N639-M639</f>
        <v>530.70000000000027</v>
      </c>
    </row>
    <row r="640" spans="1:15" x14ac:dyDescent="0.2">
      <c r="A640" t="s">
        <v>88</v>
      </c>
      <c r="B640">
        <v>1</v>
      </c>
      <c r="C640" t="s">
        <v>161</v>
      </c>
      <c r="D640" t="s">
        <v>89</v>
      </c>
      <c r="E640" t="s">
        <v>16</v>
      </c>
      <c r="F640" t="s">
        <v>16</v>
      </c>
      <c r="G640">
        <v>8</v>
      </c>
      <c r="H640" t="s">
        <v>847</v>
      </c>
      <c r="I640" t="s">
        <v>848</v>
      </c>
      <c r="J640" t="s">
        <v>449</v>
      </c>
      <c r="K640" t="s">
        <v>98</v>
      </c>
      <c r="L640">
        <v>24</v>
      </c>
      <c r="M640" s="5">
        <v>29096</v>
      </c>
      <c r="N640" s="5">
        <f>+M640*1.3</f>
        <v>37824.800000000003</v>
      </c>
      <c r="O640" s="2">
        <f>+N640-M640</f>
        <v>8728.8000000000029</v>
      </c>
    </row>
    <row r="641" spans="1:15" x14ac:dyDescent="0.2">
      <c r="A641" t="s">
        <v>88</v>
      </c>
      <c r="B641">
        <v>1</v>
      </c>
      <c r="C641" t="s">
        <v>161</v>
      </c>
      <c r="D641" t="s">
        <v>89</v>
      </c>
      <c r="E641" t="s">
        <v>16</v>
      </c>
      <c r="F641" t="s">
        <v>16</v>
      </c>
      <c r="G641">
        <v>1</v>
      </c>
      <c r="H641" t="s">
        <v>849</v>
      </c>
      <c r="I641" t="s">
        <v>850</v>
      </c>
      <c r="J641" t="s">
        <v>449</v>
      </c>
      <c r="K641" t="s">
        <v>450</v>
      </c>
      <c r="L641">
        <v>1</v>
      </c>
      <c r="M641" s="5">
        <v>1187</v>
      </c>
      <c r="N641" s="5">
        <f>+M641*1.3</f>
        <v>1543.1000000000001</v>
      </c>
      <c r="O641" s="2">
        <f>+N641-M641</f>
        <v>356.10000000000014</v>
      </c>
    </row>
    <row r="642" spans="1:15" x14ac:dyDescent="0.2">
      <c r="A642" t="s">
        <v>88</v>
      </c>
      <c r="B642">
        <v>1</v>
      </c>
      <c r="C642" t="s">
        <v>161</v>
      </c>
      <c r="D642" t="s">
        <v>89</v>
      </c>
      <c r="E642" t="s">
        <v>16</v>
      </c>
      <c r="F642" t="s">
        <v>16</v>
      </c>
      <c r="G642">
        <v>44</v>
      </c>
      <c r="H642" t="s">
        <v>851</v>
      </c>
      <c r="I642" t="s">
        <v>852</v>
      </c>
      <c r="J642" t="s">
        <v>175</v>
      </c>
      <c r="K642" t="s">
        <v>40</v>
      </c>
      <c r="L642">
        <v>1</v>
      </c>
      <c r="M642" s="5">
        <v>2110</v>
      </c>
      <c r="N642" s="5">
        <f>+M642*1.3</f>
        <v>2743</v>
      </c>
      <c r="O642" s="2">
        <f>+N642-M642</f>
        <v>633</v>
      </c>
    </row>
    <row r="643" spans="1:15" x14ac:dyDescent="0.2">
      <c r="A643" t="s">
        <v>88</v>
      </c>
      <c r="B643">
        <v>1</v>
      </c>
      <c r="C643" t="s">
        <v>161</v>
      </c>
      <c r="D643" t="s">
        <v>89</v>
      </c>
      <c r="E643" t="s">
        <v>16</v>
      </c>
      <c r="F643" t="s">
        <v>16</v>
      </c>
      <c r="G643">
        <v>43</v>
      </c>
      <c r="H643" t="s">
        <v>853</v>
      </c>
      <c r="I643" t="s">
        <v>854</v>
      </c>
      <c r="J643" t="s">
        <v>175</v>
      </c>
      <c r="K643" t="s">
        <v>40</v>
      </c>
      <c r="L643">
        <v>1</v>
      </c>
      <c r="M643" s="5">
        <v>2086</v>
      </c>
      <c r="N643" s="5">
        <f>+M643*1.3</f>
        <v>2711.8</v>
      </c>
      <c r="O643" s="2">
        <f>+N643-M643</f>
        <v>625.80000000000018</v>
      </c>
    </row>
    <row r="644" spans="1:15" x14ac:dyDescent="0.2">
      <c r="A644" t="s">
        <v>88</v>
      </c>
      <c r="B644">
        <v>1</v>
      </c>
      <c r="C644" t="s">
        <v>161</v>
      </c>
      <c r="D644" t="s">
        <v>89</v>
      </c>
      <c r="E644" t="s">
        <v>16</v>
      </c>
      <c r="F644" t="s">
        <v>16</v>
      </c>
      <c r="G644">
        <v>32</v>
      </c>
      <c r="H644" t="s">
        <v>855</v>
      </c>
      <c r="I644" t="s">
        <v>856</v>
      </c>
      <c r="J644" t="s">
        <v>164</v>
      </c>
      <c r="K644" t="s">
        <v>40</v>
      </c>
      <c r="L644">
        <v>1</v>
      </c>
      <c r="M644" s="5">
        <v>1786</v>
      </c>
      <c r="N644" s="5">
        <f>+M644*1.3</f>
        <v>2321.8000000000002</v>
      </c>
      <c r="O644" s="2">
        <f>+N644-M644</f>
        <v>535.80000000000018</v>
      </c>
    </row>
    <row r="645" spans="1:15" x14ac:dyDescent="0.2">
      <c r="A645" t="s">
        <v>88</v>
      </c>
      <c r="B645">
        <v>1</v>
      </c>
      <c r="C645" t="s">
        <v>161</v>
      </c>
      <c r="D645" t="s">
        <v>89</v>
      </c>
      <c r="E645" t="s">
        <v>16</v>
      </c>
      <c r="F645" t="s">
        <v>16</v>
      </c>
      <c r="G645">
        <v>24</v>
      </c>
      <c r="H645" t="s">
        <v>857</v>
      </c>
      <c r="I645" t="s">
        <v>858</v>
      </c>
      <c r="J645" t="s">
        <v>175</v>
      </c>
      <c r="K645" t="s">
        <v>98</v>
      </c>
      <c r="L645">
        <v>12</v>
      </c>
      <c r="M645" s="5">
        <v>27330</v>
      </c>
      <c r="N645" s="5">
        <f>+M645*1.3</f>
        <v>35529</v>
      </c>
      <c r="O645" s="2">
        <f>+N645-M645</f>
        <v>8199</v>
      </c>
    </row>
    <row r="646" spans="1:15" x14ac:dyDescent="0.2">
      <c r="A646" t="s">
        <v>88</v>
      </c>
      <c r="B646">
        <v>1</v>
      </c>
      <c r="C646" t="s">
        <v>161</v>
      </c>
      <c r="D646" t="s">
        <v>89</v>
      </c>
      <c r="E646" t="s">
        <v>16</v>
      </c>
      <c r="F646" t="s">
        <v>16</v>
      </c>
      <c r="G646">
        <v>52</v>
      </c>
      <c r="H646" t="s">
        <v>859</v>
      </c>
      <c r="I646" t="s">
        <v>860</v>
      </c>
      <c r="J646" t="s">
        <v>175</v>
      </c>
      <c r="K646" t="s">
        <v>40</v>
      </c>
      <c r="L646">
        <v>1</v>
      </c>
      <c r="M646" s="5">
        <v>2230</v>
      </c>
      <c r="N646" s="5">
        <f>+M646*1.3</f>
        <v>2899</v>
      </c>
      <c r="O646" s="2">
        <f>+N646-M646</f>
        <v>669</v>
      </c>
    </row>
    <row r="647" spans="1:15" x14ac:dyDescent="0.2">
      <c r="A647" t="s">
        <v>88</v>
      </c>
      <c r="B647">
        <v>1</v>
      </c>
      <c r="C647" t="s">
        <v>161</v>
      </c>
      <c r="D647" t="s">
        <v>89</v>
      </c>
      <c r="E647" t="s">
        <v>16</v>
      </c>
      <c r="F647" t="s">
        <v>16</v>
      </c>
      <c r="G647">
        <v>17</v>
      </c>
      <c r="H647" t="s">
        <v>861</v>
      </c>
      <c r="I647" t="s">
        <v>862</v>
      </c>
      <c r="J647" t="s">
        <v>449</v>
      </c>
      <c r="K647" t="s">
        <v>98</v>
      </c>
      <c r="L647">
        <v>24</v>
      </c>
      <c r="M647" s="5">
        <v>38941</v>
      </c>
      <c r="N647" s="5">
        <f>+M647*1.3</f>
        <v>50623.3</v>
      </c>
      <c r="O647" s="2">
        <f>+N647-M647</f>
        <v>11682.300000000003</v>
      </c>
    </row>
    <row r="648" spans="1:15" x14ac:dyDescent="0.2">
      <c r="A648" t="s">
        <v>88</v>
      </c>
      <c r="B648">
        <v>1</v>
      </c>
      <c r="C648" t="s">
        <v>161</v>
      </c>
      <c r="D648" t="s">
        <v>89</v>
      </c>
      <c r="E648" t="s">
        <v>16</v>
      </c>
      <c r="F648" t="s">
        <v>16</v>
      </c>
      <c r="G648">
        <v>2</v>
      </c>
      <c r="H648" t="s">
        <v>863</v>
      </c>
      <c r="I648" t="s">
        <v>864</v>
      </c>
      <c r="J648" t="s">
        <v>449</v>
      </c>
      <c r="K648" t="s">
        <v>450</v>
      </c>
      <c r="L648">
        <v>1</v>
      </c>
      <c r="M648" s="5">
        <v>1589</v>
      </c>
      <c r="N648" s="5">
        <f>+M648*1.3</f>
        <v>2065.7000000000003</v>
      </c>
      <c r="O648" s="2">
        <f>+N648-M648</f>
        <v>476.70000000000027</v>
      </c>
    </row>
    <row r="649" spans="1:15" x14ac:dyDescent="0.2">
      <c r="A649" t="s">
        <v>35</v>
      </c>
      <c r="B649">
        <v>1</v>
      </c>
      <c r="C649" t="s">
        <v>14</v>
      </c>
      <c r="D649" t="s">
        <v>36</v>
      </c>
      <c r="E649" t="s">
        <v>16</v>
      </c>
      <c r="F649" t="s">
        <v>16</v>
      </c>
      <c r="G649">
        <v>5</v>
      </c>
      <c r="H649" t="s">
        <v>865</v>
      </c>
      <c r="I649" t="s">
        <v>866</v>
      </c>
      <c r="J649" t="s">
        <v>70</v>
      </c>
      <c r="K649" t="s">
        <v>50</v>
      </c>
      <c r="L649">
        <v>1</v>
      </c>
      <c r="M649" s="5">
        <v>75750</v>
      </c>
      <c r="N649" s="5">
        <f>+M649*1.3</f>
        <v>98475</v>
      </c>
      <c r="O649" s="2">
        <f>+N649-M649</f>
        <v>22725</v>
      </c>
    </row>
    <row r="650" spans="1:15" x14ac:dyDescent="0.2">
      <c r="A650" t="s">
        <v>41</v>
      </c>
      <c r="B650">
        <v>1</v>
      </c>
      <c r="C650" t="s">
        <v>14</v>
      </c>
      <c r="D650" t="s">
        <v>36</v>
      </c>
      <c r="E650" t="s">
        <v>16</v>
      </c>
      <c r="F650" t="s">
        <v>16</v>
      </c>
      <c r="G650">
        <v>5</v>
      </c>
      <c r="H650" t="s">
        <v>865</v>
      </c>
      <c r="I650" t="s">
        <v>866</v>
      </c>
      <c r="J650" t="s">
        <v>70</v>
      </c>
      <c r="K650" t="s">
        <v>50</v>
      </c>
      <c r="L650">
        <v>1</v>
      </c>
      <c r="M650" s="5">
        <v>75750</v>
      </c>
      <c r="N650" s="5">
        <f>+M650*1.3</f>
        <v>98475</v>
      </c>
      <c r="O650" s="2">
        <f>+N650-M650</f>
        <v>22725</v>
      </c>
    </row>
    <row r="651" spans="1:15" x14ac:dyDescent="0.2">
      <c r="A651" t="s">
        <v>21</v>
      </c>
      <c r="B651">
        <v>2</v>
      </c>
      <c r="C651" t="s">
        <v>14</v>
      </c>
      <c r="D651" t="s">
        <v>36</v>
      </c>
      <c r="E651" t="s">
        <v>16</v>
      </c>
      <c r="F651" t="s">
        <v>16</v>
      </c>
      <c r="G651">
        <v>5</v>
      </c>
      <c r="H651" t="s">
        <v>865</v>
      </c>
      <c r="I651" t="s">
        <v>866</v>
      </c>
      <c r="J651" t="s">
        <v>70</v>
      </c>
      <c r="K651" t="s">
        <v>50</v>
      </c>
      <c r="L651">
        <v>1</v>
      </c>
      <c r="M651" s="5">
        <v>75750</v>
      </c>
      <c r="N651" s="5">
        <f>+M651*1.3</f>
        <v>98475</v>
      </c>
      <c r="O651" s="2">
        <f>+N651-M651</f>
        <v>22725</v>
      </c>
    </row>
    <row r="652" spans="1:15" x14ac:dyDescent="0.2">
      <c r="A652" t="s">
        <v>28</v>
      </c>
      <c r="B652">
        <v>1</v>
      </c>
      <c r="C652" t="s">
        <v>14</v>
      </c>
      <c r="D652" t="s">
        <v>36</v>
      </c>
      <c r="E652" t="s">
        <v>16</v>
      </c>
      <c r="F652" t="s">
        <v>16</v>
      </c>
      <c r="G652">
        <v>5</v>
      </c>
      <c r="H652" t="s">
        <v>865</v>
      </c>
      <c r="I652" t="s">
        <v>866</v>
      </c>
      <c r="J652" t="s">
        <v>70</v>
      </c>
      <c r="K652" t="s">
        <v>50</v>
      </c>
      <c r="L652">
        <v>1</v>
      </c>
      <c r="M652" s="5">
        <v>75750</v>
      </c>
      <c r="N652" s="5">
        <f>+M652*1.3</f>
        <v>98475</v>
      </c>
      <c r="O652" s="2">
        <f>+N652-M652</f>
        <v>22725</v>
      </c>
    </row>
    <row r="653" spans="1:15" x14ac:dyDescent="0.2">
      <c r="A653" t="s">
        <v>88</v>
      </c>
      <c r="B653">
        <v>1</v>
      </c>
      <c r="C653" t="s">
        <v>867</v>
      </c>
      <c r="D653" t="s">
        <v>89</v>
      </c>
      <c r="E653" t="s">
        <v>868</v>
      </c>
      <c r="F653" t="s">
        <v>869</v>
      </c>
      <c r="G653">
        <v>130</v>
      </c>
      <c r="H653" t="s">
        <v>870</v>
      </c>
      <c r="I653" t="s">
        <v>871</v>
      </c>
      <c r="J653" t="s">
        <v>872</v>
      </c>
      <c r="K653" t="s">
        <v>872</v>
      </c>
      <c r="L653">
        <v>1</v>
      </c>
      <c r="M653" s="5">
        <v>115417</v>
      </c>
      <c r="N653" s="5">
        <f>+M653*1.3</f>
        <v>150042.1</v>
      </c>
      <c r="O653" s="2">
        <f>+N653-M653</f>
        <v>34625.100000000006</v>
      </c>
    </row>
    <row r="654" spans="1:15" x14ac:dyDescent="0.2">
      <c r="A654" t="s">
        <v>88</v>
      </c>
      <c r="B654">
        <v>1</v>
      </c>
      <c r="C654" t="s">
        <v>867</v>
      </c>
      <c r="D654" t="s">
        <v>89</v>
      </c>
      <c r="E654" t="s">
        <v>868</v>
      </c>
      <c r="F654" t="s">
        <v>869</v>
      </c>
      <c r="G654">
        <v>128</v>
      </c>
      <c r="H654" t="s">
        <v>873</v>
      </c>
      <c r="I654" t="s">
        <v>874</v>
      </c>
      <c r="J654" t="s">
        <v>872</v>
      </c>
      <c r="K654" t="s">
        <v>872</v>
      </c>
      <c r="L654">
        <v>1</v>
      </c>
      <c r="M654" s="5">
        <v>114425</v>
      </c>
      <c r="N654" s="5">
        <f>+M654*1.3</f>
        <v>148752.5</v>
      </c>
      <c r="O654" s="2">
        <f>+N654-M654</f>
        <v>34327.5</v>
      </c>
    </row>
    <row r="655" spans="1:15" x14ac:dyDescent="0.2">
      <c r="A655" t="s">
        <v>88</v>
      </c>
      <c r="B655">
        <v>1</v>
      </c>
      <c r="C655" t="s">
        <v>867</v>
      </c>
      <c r="D655" t="s">
        <v>89</v>
      </c>
      <c r="E655" t="s">
        <v>868</v>
      </c>
      <c r="F655" t="s">
        <v>869</v>
      </c>
      <c r="G655">
        <v>121</v>
      </c>
      <c r="H655" t="s">
        <v>875</v>
      </c>
      <c r="I655" t="s">
        <v>876</v>
      </c>
      <c r="J655" t="s">
        <v>872</v>
      </c>
      <c r="K655" t="s">
        <v>872</v>
      </c>
      <c r="L655">
        <v>1</v>
      </c>
      <c r="M655" s="5">
        <v>96087</v>
      </c>
      <c r="N655" s="5">
        <f>+M655*1.3</f>
        <v>124913.1</v>
      </c>
      <c r="O655" s="2">
        <f>+N655-M655</f>
        <v>28826.100000000006</v>
      </c>
    </row>
    <row r="656" spans="1:15" x14ac:dyDescent="0.2">
      <c r="A656" t="s">
        <v>88</v>
      </c>
      <c r="B656">
        <v>1</v>
      </c>
      <c r="C656" t="s">
        <v>867</v>
      </c>
      <c r="D656" t="s">
        <v>89</v>
      </c>
      <c r="E656" t="s">
        <v>868</v>
      </c>
      <c r="F656" t="s">
        <v>869</v>
      </c>
      <c r="G656">
        <v>107</v>
      </c>
      <c r="H656" t="s">
        <v>877</v>
      </c>
      <c r="I656" t="s">
        <v>878</v>
      </c>
      <c r="J656" t="s">
        <v>872</v>
      </c>
      <c r="K656" t="s">
        <v>872</v>
      </c>
      <c r="L656">
        <v>1</v>
      </c>
      <c r="M656" s="5">
        <v>80656</v>
      </c>
      <c r="N656" s="5">
        <f>+M656*1.3</f>
        <v>104852.8</v>
      </c>
      <c r="O656" s="2">
        <f>+N656-M656</f>
        <v>24196.800000000003</v>
      </c>
    </row>
    <row r="657" spans="1:15" x14ac:dyDescent="0.2">
      <c r="A657" t="s">
        <v>88</v>
      </c>
      <c r="B657">
        <v>1</v>
      </c>
      <c r="C657" t="s">
        <v>867</v>
      </c>
      <c r="D657" t="s">
        <v>89</v>
      </c>
      <c r="E657" t="s">
        <v>868</v>
      </c>
      <c r="F657" t="s">
        <v>869</v>
      </c>
      <c r="G657">
        <v>68</v>
      </c>
      <c r="H657" t="s">
        <v>879</v>
      </c>
      <c r="I657" t="s">
        <v>880</v>
      </c>
      <c r="J657" t="s">
        <v>872</v>
      </c>
      <c r="K657" t="s">
        <v>872</v>
      </c>
      <c r="L657">
        <v>1</v>
      </c>
      <c r="M657" s="5">
        <v>59516</v>
      </c>
      <c r="N657" s="5">
        <f>+M657*1.3</f>
        <v>77370.8</v>
      </c>
      <c r="O657" s="2">
        <f>+N657-M657</f>
        <v>17854.800000000003</v>
      </c>
    </row>
    <row r="658" spans="1:15" x14ac:dyDescent="0.2">
      <c r="A658" t="s">
        <v>88</v>
      </c>
      <c r="B658">
        <v>1</v>
      </c>
      <c r="C658" t="s">
        <v>867</v>
      </c>
      <c r="D658" t="s">
        <v>89</v>
      </c>
      <c r="E658" t="s">
        <v>868</v>
      </c>
      <c r="F658" t="s">
        <v>869</v>
      </c>
      <c r="G658">
        <v>112</v>
      </c>
      <c r="H658" t="s">
        <v>881</v>
      </c>
      <c r="I658" t="s">
        <v>882</v>
      </c>
      <c r="J658" t="s">
        <v>872</v>
      </c>
      <c r="K658" t="s">
        <v>872</v>
      </c>
      <c r="L658">
        <v>1</v>
      </c>
      <c r="M658" s="5">
        <v>83348</v>
      </c>
      <c r="N658" s="5">
        <f>+M658*1.3</f>
        <v>108352.40000000001</v>
      </c>
      <c r="O658" s="2">
        <f>+N658-M658</f>
        <v>25004.400000000009</v>
      </c>
    </row>
    <row r="659" spans="1:15" x14ac:dyDescent="0.2">
      <c r="A659" t="s">
        <v>88</v>
      </c>
      <c r="B659">
        <v>1</v>
      </c>
      <c r="C659" t="s">
        <v>867</v>
      </c>
      <c r="D659" t="s">
        <v>89</v>
      </c>
      <c r="E659" t="s">
        <v>868</v>
      </c>
      <c r="F659" t="s">
        <v>869</v>
      </c>
      <c r="G659">
        <v>117</v>
      </c>
      <c r="H659" t="s">
        <v>883</v>
      </c>
      <c r="I659" t="s">
        <v>884</v>
      </c>
      <c r="J659" t="s">
        <v>872</v>
      </c>
      <c r="K659" t="s">
        <v>872</v>
      </c>
      <c r="L659">
        <v>1</v>
      </c>
      <c r="M659" s="5">
        <v>93905</v>
      </c>
      <c r="N659" s="5">
        <f>+M659*1.3</f>
        <v>122076.5</v>
      </c>
      <c r="O659" s="2">
        <f>+N659-M659</f>
        <v>28171.5</v>
      </c>
    </row>
    <row r="660" spans="1:15" x14ac:dyDescent="0.2">
      <c r="A660" t="s">
        <v>88</v>
      </c>
      <c r="B660">
        <v>1</v>
      </c>
      <c r="C660" t="s">
        <v>867</v>
      </c>
      <c r="D660" t="s">
        <v>89</v>
      </c>
      <c r="E660" t="s">
        <v>868</v>
      </c>
      <c r="F660" t="s">
        <v>869</v>
      </c>
      <c r="G660">
        <v>16</v>
      </c>
      <c r="H660" t="s">
        <v>885</v>
      </c>
      <c r="I660" t="s">
        <v>886</v>
      </c>
      <c r="J660" t="s">
        <v>872</v>
      </c>
      <c r="K660" t="s">
        <v>872</v>
      </c>
      <c r="L660">
        <v>1</v>
      </c>
      <c r="M660" s="5">
        <v>30583</v>
      </c>
      <c r="N660" s="5">
        <f>+M660*1.3</f>
        <v>39757.9</v>
      </c>
      <c r="O660" s="2">
        <f>+N660-M660</f>
        <v>9174.9000000000015</v>
      </c>
    </row>
    <row r="661" spans="1:15" x14ac:dyDescent="0.2">
      <c r="A661" t="s">
        <v>88</v>
      </c>
      <c r="B661">
        <v>1</v>
      </c>
      <c r="C661" t="s">
        <v>867</v>
      </c>
      <c r="D661" t="s">
        <v>89</v>
      </c>
      <c r="E661" t="s">
        <v>868</v>
      </c>
      <c r="F661" t="s">
        <v>869</v>
      </c>
      <c r="G661">
        <v>90</v>
      </c>
      <c r="H661" t="s">
        <v>887</v>
      </c>
      <c r="I661" t="s">
        <v>888</v>
      </c>
      <c r="J661" t="s">
        <v>872</v>
      </c>
      <c r="K661" t="s">
        <v>872</v>
      </c>
      <c r="L661">
        <v>1</v>
      </c>
      <c r="M661" s="5">
        <v>70343</v>
      </c>
      <c r="N661" s="5">
        <f>+M661*1.3</f>
        <v>91445.900000000009</v>
      </c>
      <c r="O661" s="2">
        <f>+N661-M661</f>
        <v>21102.900000000009</v>
      </c>
    </row>
    <row r="662" spans="1:15" x14ac:dyDescent="0.2">
      <c r="A662" t="s">
        <v>88</v>
      </c>
      <c r="B662">
        <v>1</v>
      </c>
      <c r="C662" t="s">
        <v>867</v>
      </c>
      <c r="D662" t="s">
        <v>89</v>
      </c>
      <c r="E662" t="s">
        <v>868</v>
      </c>
      <c r="F662" t="s">
        <v>869</v>
      </c>
      <c r="G662">
        <v>73</v>
      </c>
      <c r="H662" t="s">
        <v>889</v>
      </c>
      <c r="I662" t="s">
        <v>890</v>
      </c>
      <c r="J662" t="s">
        <v>872</v>
      </c>
      <c r="K662" t="s">
        <v>872</v>
      </c>
      <c r="L662">
        <v>1</v>
      </c>
      <c r="M662" s="5">
        <v>61415</v>
      </c>
      <c r="N662" s="5">
        <f>+M662*1.3</f>
        <v>79839.5</v>
      </c>
      <c r="O662" s="2">
        <f>+N662-M662</f>
        <v>18424.5</v>
      </c>
    </row>
    <row r="663" spans="1:15" x14ac:dyDescent="0.2">
      <c r="A663" t="s">
        <v>28</v>
      </c>
      <c r="B663">
        <v>1</v>
      </c>
      <c r="C663" t="s">
        <v>867</v>
      </c>
      <c r="D663" t="s">
        <v>891</v>
      </c>
      <c r="E663" t="s">
        <v>868</v>
      </c>
      <c r="F663" t="s">
        <v>869</v>
      </c>
      <c r="G663">
        <v>2</v>
      </c>
      <c r="H663" t="s">
        <v>892</v>
      </c>
      <c r="I663" t="s">
        <v>893</v>
      </c>
      <c r="J663" t="s">
        <v>872</v>
      </c>
      <c r="K663" t="s">
        <v>872</v>
      </c>
      <c r="L663">
        <v>1</v>
      </c>
      <c r="M663" s="5">
        <v>86609</v>
      </c>
      <c r="N663" s="5">
        <f>+M663*1.3</f>
        <v>112591.7</v>
      </c>
      <c r="O663" s="2">
        <f>+N663-M663</f>
        <v>25982.699999999997</v>
      </c>
    </row>
    <row r="664" spans="1:15" x14ac:dyDescent="0.2">
      <c r="A664" t="s">
        <v>88</v>
      </c>
      <c r="B664">
        <v>1</v>
      </c>
      <c r="C664" t="s">
        <v>867</v>
      </c>
      <c r="D664" t="s">
        <v>89</v>
      </c>
      <c r="E664" t="s">
        <v>868</v>
      </c>
      <c r="F664" t="s">
        <v>869</v>
      </c>
      <c r="G664">
        <v>69</v>
      </c>
      <c r="H664" t="s">
        <v>894</v>
      </c>
      <c r="I664" t="s">
        <v>895</v>
      </c>
      <c r="J664" t="s">
        <v>872</v>
      </c>
      <c r="K664" t="s">
        <v>872</v>
      </c>
      <c r="L664">
        <v>1</v>
      </c>
      <c r="M664" s="5">
        <v>59581</v>
      </c>
      <c r="N664" s="5">
        <f>+M664*1.3</f>
        <v>77455.3</v>
      </c>
      <c r="O664" s="2">
        <f>+N664-M664</f>
        <v>17874.300000000003</v>
      </c>
    </row>
    <row r="665" spans="1:15" x14ac:dyDescent="0.2">
      <c r="A665" t="s">
        <v>88</v>
      </c>
      <c r="B665">
        <v>1</v>
      </c>
      <c r="C665" t="s">
        <v>867</v>
      </c>
      <c r="D665" t="s">
        <v>89</v>
      </c>
      <c r="E665" t="s">
        <v>868</v>
      </c>
      <c r="F665" t="s">
        <v>869</v>
      </c>
      <c r="G665">
        <v>136</v>
      </c>
      <c r="H665" t="s">
        <v>896</v>
      </c>
      <c r="I665" t="s">
        <v>897</v>
      </c>
      <c r="J665" t="s">
        <v>872</v>
      </c>
      <c r="K665" t="s">
        <v>872</v>
      </c>
      <c r="L665">
        <v>1</v>
      </c>
      <c r="M665" s="5">
        <v>124050</v>
      </c>
      <c r="N665" s="5">
        <f>+M665*1.3</f>
        <v>161265</v>
      </c>
      <c r="O665" s="2">
        <f>+N665-M665</f>
        <v>37215</v>
      </c>
    </row>
    <row r="666" spans="1:15" x14ac:dyDescent="0.2">
      <c r="A666" t="s">
        <v>28</v>
      </c>
      <c r="B666">
        <v>1</v>
      </c>
      <c r="C666" t="s">
        <v>867</v>
      </c>
      <c r="D666" t="s">
        <v>898</v>
      </c>
      <c r="E666" t="s">
        <v>868</v>
      </c>
      <c r="F666" t="s">
        <v>869</v>
      </c>
      <c r="G666">
        <v>6</v>
      </c>
      <c r="H666" t="s">
        <v>899</v>
      </c>
      <c r="I666" t="s">
        <v>900</v>
      </c>
      <c r="J666" t="s">
        <v>872</v>
      </c>
      <c r="K666" t="s">
        <v>872</v>
      </c>
      <c r="L666">
        <v>1</v>
      </c>
      <c r="M666" s="5">
        <v>319577</v>
      </c>
      <c r="N666" s="5">
        <f>+M666*1.3</f>
        <v>415450.10000000003</v>
      </c>
      <c r="O666" s="2">
        <f>+N666-M666</f>
        <v>95873.100000000035</v>
      </c>
    </row>
    <row r="667" spans="1:15" x14ac:dyDescent="0.2">
      <c r="A667" t="s">
        <v>88</v>
      </c>
      <c r="B667">
        <v>1</v>
      </c>
      <c r="C667" t="s">
        <v>867</v>
      </c>
      <c r="D667" t="s">
        <v>89</v>
      </c>
      <c r="E667" t="s">
        <v>868</v>
      </c>
      <c r="F667" t="s">
        <v>869</v>
      </c>
      <c r="G667">
        <v>111</v>
      </c>
      <c r="H667" t="s">
        <v>901</v>
      </c>
      <c r="I667" t="s">
        <v>902</v>
      </c>
      <c r="J667" t="s">
        <v>872</v>
      </c>
      <c r="K667" t="s">
        <v>872</v>
      </c>
      <c r="L667">
        <v>1</v>
      </c>
      <c r="M667" s="5">
        <v>82903</v>
      </c>
      <c r="N667" s="5">
        <f>+M667*1.3</f>
        <v>107773.90000000001</v>
      </c>
      <c r="O667" s="2">
        <f>+N667-M667</f>
        <v>24870.900000000009</v>
      </c>
    </row>
    <row r="668" spans="1:15" x14ac:dyDescent="0.2">
      <c r="A668" t="s">
        <v>88</v>
      </c>
      <c r="B668">
        <v>1</v>
      </c>
      <c r="C668" t="s">
        <v>867</v>
      </c>
      <c r="D668" t="s">
        <v>89</v>
      </c>
      <c r="E668" t="s">
        <v>868</v>
      </c>
      <c r="F668" t="s">
        <v>869</v>
      </c>
      <c r="G668">
        <v>55</v>
      </c>
      <c r="H668" t="s">
        <v>903</v>
      </c>
      <c r="I668" t="s">
        <v>904</v>
      </c>
      <c r="J668" t="s">
        <v>872</v>
      </c>
      <c r="K668" t="s">
        <v>872</v>
      </c>
      <c r="L668">
        <v>1</v>
      </c>
      <c r="M668" s="5">
        <v>53126</v>
      </c>
      <c r="N668" s="5">
        <f>+M668*1.3</f>
        <v>69063.8</v>
      </c>
      <c r="O668" s="2">
        <f>+N668-M668</f>
        <v>15937.800000000003</v>
      </c>
    </row>
    <row r="669" spans="1:15" x14ac:dyDescent="0.2">
      <c r="A669" t="s">
        <v>88</v>
      </c>
      <c r="B669">
        <v>1</v>
      </c>
      <c r="C669" t="s">
        <v>867</v>
      </c>
      <c r="D669" t="s">
        <v>89</v>
      </c>
      <c r="E669" t="s">
        <v>868</v>
      </c>
      <c r="F669" t="s">
        <v>869</v>
      </c>
      <c r="G669">
        <v>101</v>
      </c>
      <c r="H669" t="s">
        <v>905</v>
      </c>
      <c r="I669" t="s">
        <v>906</v>
      </c>
      <c r="J669" t="s">
        <v>872</v>
      </c>
      <c r="K669" t="s">
        <v>872</v>
      </c>
      <c r="L669">
        <v>1</v>
      </c>
      <c r="M669" s="5">
        <v>77035</v>
      </c>
      <c r="N669" s="5">
        <f>+M669*1.3</f>
        <v>100145.5</v>
      </c>
      <c r="O669" s="2">
        <f>+N669-M669</f>
        <v>23110.5</v>
      </c>
    </row>
    <row r="670" spans="1:15" x14ac:dyDescent="0.2">
      <c r="A670" t="s">
        <v>88</v>
      </c>
      <c r="B670">
        <v>1</v>
      </c>
      <c r="C670" t="s">
        <v>867</v>
      </c>
      <c r="D670" t="s">
        <v>89</v>
      </c>
      <c r="E670" t="s">
        <v>868</v>
      </c>
      <c r="F670" t="s">
        <v>869</v>
      </c>
      <c r="G670">
        <v>116</v>
      </c>
      <c r="H670" t="s">
        <v>907</v>
      </c>
      <c r="I670" t="s">
        <v>908</v>
      </c>
      <c r="J670" t="s">
        <v>872</v>
      </c>
      <c r="K670" t="s">
        <v>872</v>
      </c>
      <c r="L670">
        <v>1</v>
      </c>
      <c r="M670" s="5">
        <v>87101</v>
      </c>
      <c r="N670" s="5">
        <f>+M670*1.3</f>
        <v>113231.3</v>
      </c>
      <c r="O670" s="2">
        <f>+N670-M670</f>
        <v>26130.300000000003</v>
      </c>
    </row>
    <row r="671" spans="1:15" x14ac:dyDescent="0.2">
      <c r="A671" t="s">
        <v>88</v>
      </c>
      <c r="B671">
        <v>1</v>
      </c>
      <c r="C671" t="s">
        <v>867</v>
      </c>
      <c r="D671" t="s">
        <v>89</v>
      </c>
      <c r="E671" t="s">
        <v>868</v>
      </c>
      <c r="F671" t="s">
        <v>869</v>
      </c>
      <c r="G671">
        <v>95</v>
      </c>
      <c r="H671" t="s">
        <v>909</v>
      </c>
      <c r="I671" t="s">
        <v>910</v>
      </c>
      <c r="J671" t="s">
        <v>872</v>
      </c>
      <c r="K671" t="s">
        <v>872</v>
      </c>
      <c r="L671">
        <v>1</v>
      </c>
      <c r="M671" s="5">
        <v>73246</v>
      </c>
      <c r="N671" s="5">
        <f>+M671*1.3</f>
        <v>95219.8</v>
      </c>
      <c r="O671" s="2">
        <f>+N671-M671</f>
        <v>21973.800000000003</v>
      </c>
    </row>
    <row r="672" spans="1:15" x14ac:dyDescent="0.2">
      <c r="A672" t="s">
        <v>88</v>
      </c>
      <c r="B672">
        <v>1</v>
      </c>
      <c r="C672" t="s">
        <v>867</v>
      </c>
      <c r="D672" t="s">
        <v>89</v>
      </c>
      <c r="E672" t="s">
        <v>868</v>
      </c>
      <c r="F672" t="s">
        <v>869</v>
      </c>
      <c r="G672">
        <v>135</v>
      </c>
      <c r="H672" t="s">
        <v>911</v>
      </c>
      <c r="I672" t="s">
        <v>912</v>
      </c>
      <c r="J672" t="s">
        <v>872</v>
      </c>
      <c r="K672" t="s">
        <v>872</v>
      </c>
      <c r="L672">
        <v>1</v>
      </c>
      <c r="M672" s="5">
        <v>123199</v>
      </c>
      <c r="N672" s="5">
        <f>+M672*1.3</f>
        <v>160158.70000000001</v>
      </c>
      <c r="O672" s="2">
        <f>+N672-M672</f>
        <v>36959.700000000012</v>
      </c>
    </row>
    <row r="673" spans="1:15" x14ac:dyDescent="0.2">
      <c r="A673" t="s">
        <v>88</v>
      </c>
      <c r="B673">
        <v>1</v>
      </c>
      <c r="C673" t="s">
        <v>867</v>
      </c>
      <c r="D673" t="s">
        <v>89</v>
      </c>
      <c r="E673" t="s">
        <v>868</v>
      </c>
      <c r="F673" t="s">
        <v>869</v>
      </c>
      <c r="G673">
        <v>82</v>
      </c>
      <c r="H673" t="s">
        <v>913</v>
      </c>
      <c r="I673" t="s">
        <v>914</v>
      </c>
      <c r="J673" t="s">
        <v>872</v>
      </c>
      <c r="K673" t="s">
        <v>872</v>
      </c>
      <c r="L673">
        <v>1</v>
      </c>
      <c r="M673" s="5">
        <v>66669</v>
      </c>
      <c r="N673" s="5">
        <f>+M673*1.3</f>
        <v>86669.7</v>
      </c>
      <c r="O673" s="2">
        <f>+N673-M673</f>
        <v>20000.699999999997</v>
      </c>
    </row>
    <row r="674" spans="1:15" x14ac:dyDescent="0.2">
      <c r="A674" t="s">
        <v>88</v>
      </c>
      <c r="B674">
        <v>1</v>
      </c>
      <c r="C674" t="s">
        <v>867</v>
      </c>
      <c r="D674" t="s">
        <v>89</v>
      </c>
      <c r="E674" t="s">
        <v>868</v>
      </c>
      <c r="F674" t="s">
        <v>869</v>
      </c>
      <c r="G674">
        <v>8</v>
      </c>
      <c r="H674" t="s">
        <v>915</v>
      </c>
      <c r="I674" t="s">
        <v>916</v>
      </c>
      <c r="J674" t="s">
        <v>872</v>
      </c>
      <c r="K674" t="s">
        <v>872</v>
      </c>
      <c r="L674">
        <v>1</v>
      </c>
      <c r="M674" s="5">
        <v>25091</v>
      </c>
      <c r="N674" s="5">
        <f>+M674*1.3</f>
        <v>32618.300000000003</v>
      </c>
      <c r="O674" s="2">
        <f>+N674-M674</f>
        <v>7527.3000000000029</v>
      </c>
    </row>
    <row r="675" spans="1:15" x14ac:dyDescent="0.2">
      <c r="A675" t="s">
        <v>13</v>
      </c>
      <c r="B675">
        <v>2</v>
      </c>
      <c r="C675" t="s">
        <v>867</v>
      </c>
      <c r="D675" t="s">
        <v>917</v>
      </c>
      <c r="E675" t="s">
        <v>868</v>
      </c>
      <c r="F675" t="s">
        <v>869</v>
      </c>
      <c r="G675">
        <v>1</v>
      </c>
      <c r="H675" t="s">
        <v>918</v>
      </c>
      <c r="I675" t="s">
        <v>919</v>
      </c>
      <c r="J675" t="s">
        <v>872</v>
      </c>
      <c r="K675" t="s">
        <v>872</v>
      </c>
      <c r="L675">
        <v>1</v>
      </c>
      <c r="M675" s="5">
        <v>48292</v>
      </c>
      <c r="N675" s="5">
        <f>+M675*1.3</f>
        <v>62779.6</v>
      </c>
      <c r="O675" s="2">
        <f>+N675-M675</f>
        <v>14487.599999999999</v>
      </c>
    </row>
    <row r="676" spans="1:15" x14ac:dyDescent="0.2">
      <c r="A676" t="s">
        <v>21</v>
      </c>
      <c r="B676">
        <v>1</v>
      </c>
      <c r="C676" t="s">
        <v>867</v>
      </c>
      <c r="D676" t="s">
        <v>917</v>
      </c>
      <c r="E676" t="s">
        <v>868</v>
      </c>
      <c r="F676" t="s">
        <v>869</v>
      </c>
      <c r="G676">
        <v>1</v>
      </c>
      <c r="H676" t="s">
        <v>918</v>
      </c>
      <c r="I676" t="s">
        <v>919</v>
      </c>
      <c r="J676" t="s">
        <v>872</v>
      </c>
      <c r="K676" t="s">
        <v>872</v>
      </c>
      <c r="L676">
        <v>1</v>
      </c>
      <c r="M676" s="5">
        <v>48292</v>
      </c>
      <c r="N676" s="5">
        <f>+M676*1.3</f>
        <v>62779.6</v>
      </c>
      <c r="O676" s="2">
        <f>+N676-M676</f>
        <v>14487.599999999999</v>
      </c>
    </row>
    <row r="677" spans="1:15" x14ac:dyDescent="0.2">
      <c r="A677" t="s">
        <v>28</v>
      </c>
      <c r="B677">
        <v>1</v>
      </c>
      <c r="C677" t="s">
        <v>867</v>
      </c>
      <c r="D677" t="s">
        <v>891</v>
      </c>
      <c r="E677" t="s">
        <v>868</v>
      </c>
      <c r="F677" t="s">
        <v>869</v>
      </c>
      <c r="G677">
        <v>5</v>
      </c>
      <c r="H677" t="s">
        <v>920</v>
      </c>
      <c r="I677" t="s">
        <v>921</v>
      </c>
      <c r="J677" t="s">
        <v>872</v>
      </c>
      <c r="K677" t="s">
        <v>872</v>
      </c>
      <c r="L677">
        <v>1</v>
      </c>
      <c r="M677" s="5">
        <v>120884</v>
      </c>
      <c r="N677" s="5">
        <f>+M677*1.3</f>
        <v>157149.20000000001</v>
      </c>
      <c r="O677" s="2">
        <f>+N677-M677</f>
        <v>36265.200000000012</v>
      </c>
    </row>
    <row r="678" spans="1:15" x14ac:dyDescent="0.2">
      <c r="A678" t="s">
        <v>28</v>
      </c>
      <c r="B678">
        <v>1</v>
      </c>
      <c r="C678" t="s">
        <v>867</v>
      </c>
      <c r="D678" t="s">
        <v>891</v>
      </c>
      <c r="E678" t="s">
        <v>868</v>
      </c>
      <c r="F678" t="s">
        <v>869</v>
      </c>
      <c r="G678">
        <v>4</v>
      </c>
      <c r="H678" t="s">
        <v>922</v>
      </c>
      <c r="I678" t="s">
        <v>923</v>
      </c>
      <c r="J678" t="s">
        <v>872</v>
      </c>
      <c r="K678" t="s">
        <v>872</v>
      </c>
      <c r="L678">
        <v>1</v>
      </c>
      <c r="M678" s="5">
        <v>97312</v>
      </c>
      <c r="N678" s="5">
        <f>+M678*1.3</f>
        <v>126505.60000000001</v>
      </c>
      <c r="O678" s="2">
        <f>+N678-M678</f>
        <v>29193.600000000006</v>
      </c>
    </row>
    <row r="679" spans="1:15" x14ac:dyDescent="0.2">
      <c r="A679" t="s">
        <v>88</v>
      </c>
      <c r="B679">
        <v>1</v>
      </c>
      <c r="C679" t="s">
        <v>867</v>
      </c>
      <c r="D679" t="s">
        <v>89</v>
      </c>
      <c r="E679" t="s">
        <v>868</v>
      </c>
      <c r="F679" t="s">
        <v>869</v>
      </c>
      <c r="G679">
        <v>122</v>
      </c>
      <c r="H679" t="s">
        <v>924</v>
      </c>
      <c r="I679" t="s">
        <v>925</v>
      </c>
      <c r="J679" t="s">
        <v>872</v>
      </c>
      <c r="K679" t="s">
        <v>872</v>
      </c>
      <c r="L679">
        <v>1</v>
      </c>
      <c r="M679" s="5">
        <v>100116</v>
      </c>
      <c r="N679" s="5">
        <f>+M679*1.3</f>
        <v>130150.8</v>
      </c>
      <c r="O679" s="2">
        <f>+N679-M679</f>
        <v>30034.800000000003</v>
      </c>
    </row>
    <row r="680" spans="1:15" x14ac:dyDescent="0.2">
      <c r="A680" t="s">
        <v>88</v>
      </c>
      <c r="B680">
        <v>1</v>
      </c>
      <c r="C680" t="s">
        <v>867</v>
      </c>
      <c r="D680" t="s">
        <v>89</v>
      </c>
      <c r="E680" t="s">
        <v>868</v>
      </c>
      <c r="F680" t="s">
        <v>869</v>
      </c>
      <c r="G680">
        <v>146</v>
      </c>
      <c r="H680" t="s">
        <v>926</v>
      </c>
      <c r="I680" t="s">
        <v>927</v>
      </c>
      <c r="J680" t="s">
        <v>872</v>
      </c>
      <c r="K680" t="s">
        <v>872</v>
      </c>
      <c r="L680">
        <v>1</v>
      </c>
      <c r="M680" s="5">
        <v>157951</v>
      </c>
      <c r="N680" s="5">
        <f>+M680*1.3</f>
        <v>205336.30000000002</v>
      </c>
      <c r="O680" s="2">
        <f>+N680-M680</f>
        <v>47385.300000000017</v>
      </c>
    </row>
    <row r="681" spans="1:15" x14ac:dyDescent="0.2">
      <c r="A681" t="s">
        <v>88</v>
      </c>
      <c r="B681">
        <v>1</v>
      </c>
      <c r="C681" t="s">
        <v>867</v>
      </c>
      <c r="D681" t="s">
        <v>89</v>
      </c>
      <c r="E681" t="s">
        <v>868</v>
      </c>
      <c r="F681" t="s">
        <v>869</v>
      </c>
      <c r="G681">
        <v>27</v>
      </c>
      <c r="H681" t="s">
        <v>928</v>
      </c>
      <c r="I681" t="s">
        <v>929</v>
      </c>
      <c r="J681" t="s">
        <v>872</v>
      </c>
      <c r="K681" t="s">
        <v>872</v>
      </c>
      <c r="L681">
        <v>1</v>
      </c>
      <c r="M681" s="5">
        <v>37818</v>
      </c>
      <c r="N681" s="5">
        <f>+M681*1.3</f>
        <v>49163.4</v>
      </c>
      <c r="O681" s="2">
        <f>+N681-M681</f>
        <v>11345.400000000001</v>
      </c>
    </row>
    <row r="682" spans="1:15" x14ac:dyDescent="0.2">
      <c r="A682" t="s">
        <v>88</v>
      </c>
      <c r="B682">
        <v>1</v>
      </c>
      <c r="C682" t="s">
        <v>867</v>
      </c>
      <c r="D682" t="s">
        <v>89</v>
      </c>
      <c r="E682" t="s">
        <v>868</v>
      </c>
      <c r="F682" t="s">
        <v>869</v>
      </c>
      <c r="G682">
        <v>23</v>
      </c>
      <c r="H682" t="s">
        <v>930</v>
      </c>
      <c r="I682" t="s">
        <v>931</v>
      </c>
      <c r="J682" t="s">
        <v>872</v>
      </c>
      <c r="K682" t="s">
        <v>872</v>
      </c>
      <c r="L682">
        <v>1</v>
      </c>
      <c r="M682" s="5">
        <v>34937</v>
      </c>
      <c r="N682" s="5">
        <f>+M682*1.3</f>
        <v>45418.1</v>
      </c>
      <c r="O682" s="2">
        <f>+N682-M682</f>
        <v>10481.099999999999</v>
      </c>
    </row>
    <row r="683" spans="1:15" x14ac:dyDescent="0.2">
      <c r="A683" t="s">
        <v>88</v>
      </c>
      <c r="B683">
        <v>1</v>
      </c>
      <c r="C683" t="s">
        <v>867</v>
      </c>
      <c r="D683" t="s">
        <v>89</v>
      </c>
      <c r="E683" t="s">
        <v>868</v>
      </c>
      <c r="F683" t="s">
        <v>869</v>
      </c>
      <c r="G683">
        <v>52</v>
      </c>
      <c r="H683" t="s">
        <v>932</v>
      </c>
      <c r="I683" t="s">
        <v>933</v>
      </c>
      <c r="J683" t="s">
        <v>872</v>
      </c>
      <c r="K683" t="s">
        <v>872</v>
      </c>
      <c r="L683">
        <v>1</v>
      </c>
      <c r="M683" s="5">
        <v>51467</v>
      </c>
      <c r="N683" s="5">
        <f>+M683*1.3</f>
        <v>66907.100000000006</v>
      </c>
      <c r="O683" s="2">
        <f>+N683-M683</f>
        <v>15440.100000000006</v>
      </c>
    </row>
    <row r="684" spans="1:15" x14ac:dyDescent="0.2">
      <c r="A684" t="s">
        <v>88</v>
      </c>
      <c r="B684">
        <v>1</v>
      </c>
      <c r="C684" t="s">
        <v>867</v>
      </c>
      <c r="D684" t="s">
        <v>89</v>
      </c>
      <c r="E684" t="s">
        <v>868</v>
      </c>
      <c r="F684" t="s">
        <v>869</v>
      </c>
      <c r="G684">
        <v>21</v>
      </c>
      <c r="H684" t="s">
        <v>934</v>
      </c>
      <c r="I684" t="s">
        <v>935</v>
      </c>
      <c r="J684" t="s">
        <v>872</v>
      </c>
      <c r="K684" t="s">
        <v>872</v>
      </c>
      <c r="L684">
        <v>1</v>
      </c>
      <c r="M684" s="5">
        <v>33638</v>
      </c>
      <c r="N684" s="5">
        <f>+M684*1.3</f>
        <v>43729.4</v>
      </c>
      <c r="O684" s="2">
        <f>+N684-M684</f>
        <v>10091.400000000001</v>
      </c>
    </row>
    <row r="685" spans="1:15" x14ac:dyDescent="0.2">
      <c r="A685" t="s">
        <v>88</v>
      </c>
      <c r="B685">
        <v>1</v>
      </c>
      <c r="C685" t="s">
        <v>867</v>
      </c>
      <c r="D685" t="s">
        <v>89</v>
      </c>
      <c r="E685" t="s">
        <v>868</v>
      </c>
      <c r="F685" t="s">
        <v>869</v>
      </c>
      <c r="G685">
        <v>131</v>
      </c>
      <c r="H685" t="s">
        <v>936</v>
      </c>
      <c r="I685" t="s">
        <v>937</v>
      </c>
      <c r="J685" t="s">
        <v>872</v>
      </c>
      <c r="K685" t="s">
        <v>872</v>
      </c>
      <c r="L685">
        <v>1</v>
      </c>
      <c r="M685" s="5">
        <v>115535</v>
      </c>
      <c r="N685" s="5">
        <f>+M685*1.3</f>
        <v>150195.5</v>
      </c>
      <c r="O685" s="2">
        <f>+N685-M685</f>
        <v>34660.5</v>
      </c>
    </row>
    <row r="686" spans="1:15" x14ac:dyDescent="0.2">
      <c r="A686" t="s">
        <v>88</v>
      </c>
      <c r="B686">
        <v>1</v>
      </c>
      <c r="C686" t="s">
        <v>867</v>
      </c>
      <c r="D686" t="s">
        <v>89</v>
      </c>
      <c r="E686" t="s">
        <v>868</v>
      </c>
      <c r="F686" t="s">
        <v>869</v>
      </c>
      <c r="G686">
        <v>148</v>
      </c>
      <c r="H686" t="s">
        <v>938</v>
      </c>
      <c r="I686" t="s">
        <v>939</v>
      </c>
      <c r="J686" t="s">
        <v>872</v>
      </c>
      <c r="K686" t="s">
        <v>872</v>
      </c>
      <c r="L686">
        <v>1</v>
      </c>
      <c r="M686" s="5">
        <v>159383</v>
      </c>
      <c r="N686" s="5">
        <f>+M686*1.3</f>
        <v>207197.9</v>
      </c>
      <c r="O686" s="2">
        <f>+N686-M686</f>
        <v>47814.899999999994</v>
      </c>
    </row>
    <row r="687" spans="1:15" x14ac:dyDescent="0.2">
      <c r="A687" t="s">
        <v>88</v>
      </c>
      <c r="B687">
        <v>1</v>
      </c>
      <c r="C687" t="s">
        <v>867</v>
      </c>
      <c r="D687" t="s">
        <v>89</v>
      </c>
      <c r="E687" t="s">
        <v>868</v>
      </c>
      <c r="F687" t="s">
        <v>869</v>
      </c>
      <c r="G687">
        <v>29</v>
      </c>
      <c r="H687" t="s">
        <v>940</v>
      </c>
      <c r="I687" t="s">
        <v>941</v>
      </c>
      <c r="J687" t="s">
        <v>872</v>
      </c>
      <c r="K687" t="s">
        <v>872</v>
      </c>
      <c r="L687">
        <v>1</v>
      </c>
      <c r="M687" s="5">
        <v>40888</v>
      </c>
      <c r="N687" s="5">
        <f>+M687*1.3</f>
        <v>53154.400000000001</v>
      </c>
      <c r="O687" s="2">
        <f>+N687-M687</f>
        <v>12266.400000000001</v>
      </c>
    </row>
    <row r="688" spans="1:15" x14ac:dyDescent="0.2">
      <c r="A688" t="s">
        <v>88</v>
      </c>
      <c r="B688">
        <v>1</v>
      </c>
      <c r="C688" t="s">
        <v>867</v>
      </c>
      <c r="D688" t="s">
        <v>89</v>
      </c>
      <c r="E688" t="s">
        <v>868</v>
      </c>
      <c r="F688" t="s">
        <v>869</v>
      </c>
      <c r="G688">
        <v>126</v>
      </c>
      <c r="H688" t="s">
        <v>942</v>
      </c>
      <c r="I688" t="s">
        <v>943</v>
      </c>
      <c r="J688" t="s">
        <v>872</v>
      </c>
      <c r="K688" t="s">
        <v>872</v>
      </c>
      <c r="L688">
        <v>1</v>
      </c>
      <c r="M688" s="5">
        <v>110104</v>
      </c>
      <c r="N688" s="5">
        <f>+M688*1.3</f>
        <v>143135.20000000001</v>
      </c>
      <c r="O688" s="2">
        <f>+N688-M688</f>
        <v>33031.200000000012</v>
      </c>
    </row>
    <row r="689" spans="1:15" x14ac:dyDescent="0.2">
      <c r="A689" t="s">
        <v>88</v>
      </c>
      <c r="B689">
        <v>1</v>
      </c>
      <c r="C689" t="s">
        <v>867</v>
      </c>
      <c r="D689" t="s">
        <v>89</v>
      </c>
      <c r="E689" t="s">
        <v>868</v>
      </c>
      <c r="F689" t="s">
        <v>869</v>
      </c>
      <c r="G689">
        <v>100</v>
      </c>
      <c r="H689" t="s">
        <v>944</v>
      </c>
      <c r="I689" t="s">
        <v>945</v>
      </c>
      <c r="J689" t="s">
        <v>872</v>
      </c>
      <c r="K689" t="s">
        <v>872</v>
      </c>
      <c r="L689">
        <v>1</v>
      </c>
      <c r="M689" s="5">
        <v>76683</v>
      </c>
      <c r="N689" s="5">
        <f>+M689*1.3</f>
        <v>99687.900000000009</v>
      </c>
      <c r="O689" s="2">
        <f>+N689-M689</f>
        <v>23004.900000000009</v>
      </c>
    </row>
    <row r="690" spans="1:15" x14ac:dyDescent="0.2">
      <c r="A690" t="s">
        <v>88</v>
      </c>
      <c r="B690">
        <v>1</v>
      </c>
      <c r="C690" t="s">
        <v>867</v>
      </c>
      <c r="D690" t="s">
        <v>89</v>
      </c>
      <c r="E690" t="s">
        <v>868</v>
      </c>
      <c r="F690" t="s">
        <v>869</v>
      </c>
      <c r="G690">
        <v>140</v>
      </c>
      <c r="H690" t="s">
        <v>946</v>
      </c>
      <c r="I690" t="s">
        <v>947</v>
      </c>
      <c r="J690" t="s">
        <v>872</v>
      </c>
      <c r="K690" t="s">
        <v>872</v>
      </c>
      <c r="L690">
        <v>1</v>
      </c>
      <c r="M690" s="5">
        <v>136961</v>
      </c>
      <c r="N690" s="5">
        <f>+M690*1.3</f>
        <v>178049.30000000002</v>
      </c>
      <c r="O690" s="2">
        <f>+N690-M690</f>
        <v>41088.300000000017</v>
      </c>
    </row>
    <row r="691" spans="1:15" x14ac:dyDescent="0.2">
      <c r="A691" t="s">
        <v>88</v>
      </c>
      <c r="B691">
        <v>1</v>
      </c>
      <c r="C691" t="s">
        <v>867</v>
      </c>
      <c r="D691" t="s">
        <v>89</v>
      </c>
      <c r="E691" t="s">
        <v>868</v>
      </c>
      <c r="F691" t="s">
        <v>869</v>
      </c>
      <c r="G691">
        <v>94</v>
      </c>
      <c r="H691" t="s">
        <v>948</v>
      </c>
      <c r="I691" t="s">
        <v>949</v>
      </c>
      <c r="J691" t="s">
        <v>872</v>
      </c>
      <c r="K691" t="s">
        <v>872</v>
      </c>
      <c r="L691">
        <v>1</v>
      </c>
      <c r="M691" s="5">
        <v>73175</v>
      </c>
      <c r="N691" s="5">
        <f>+M691*1.3</f>
        <v>95127.5</v>
      </c>
      <c r="O691" s="2">
        <f>+N691-M691</f>
        <v>21952.5</v>
      </c>
    </row>
    <row r="692" spans="1:15" x14ac:dyDescent="0.2">
      <c r="A692" t="s">
        <v>88</v>
      </c>
      <c r="B692">
        <v>1</v>
      </c>
      <c r="C692" t="s">
        <v>867</v>
      </c>
      <c r="D692" t="s">
        <v>89</v>
      </c>
      <c r="E692" t="s">
        <v>868</v>
      </c>
      <c r="F692" t="s">
        <v>869</v>
      </c>
      <c r="G692">
        <v>97</v>
      </c>
      <c r="H692" t="s">
        <v>950</v>
      </c>
      <c r="I692" t="s">
        <v>951</v>
      </c>
      <c r="J692" t="s">
        <v>872</v>
      </c>
      <c r="K692" t="s">
        <v>872</v>
      </c>
      <c r="L692">
        <v>1</v>
      </c>
      <c r="M692" s="5">
        <v>74560</v>
      </c>
      <c r="N692" s="5">
        <f>+M692*1.3</f>
        <v>96928</v>
      </c>
      <c r="O692" s="2">
        <f>+N692-M692</f>
        <v>22368</v>
      </c>
    </row>
    <row r="693" spans="1:15" x14ac:dyDescent="0.2">
      <c r="A693" t="s">
        <v>88</v>
      </c>
      <c r="B693">
        <v>1</v>
      </c>
      <c r="C693" t="s">
        <v>867</v>
      </c>
      <c r="D693" t="s">
        <v>89</v>
      </c>
      <c r="E693" t="s">
        <v>868</v>
      </c>
      <c r="F693" t="s">
        <v>869</v>
      </c>
      <c r="G693">
        <v>132</v>
      </c>
      <c r="H693" t="s">
        <v>952</v>
      </c>
      <c r="I693" t="s">
        <v>953</v>
      </c>
      <c r="J693" t="s">
        <v>872</v>
      </c>
      <c r="K693" t="s">
        <v>872</v>
      </c>
      <c r="L693">
        <v>1</v>
      </c>
      <c r="M693" s="5">
        <v>117252</v>
      </c>
      <c r="N693" s="5">
        <f>+M693*1.3</f>
        <v>152427.6</v>
      </c>
      <c r="O693" s="2">
        <f>+N693-M693</f>
        <v>35175.600000000006</v>
      </c>
    </row>
    <row r="694" spans="1:15" x14ac:dyDescent="0.2">
      <c r="A694" t="s">
        <v>28</v>
      </c>
      <c r="B694">
        <v>1</v>
      </c>
      <c r="C694" t="s">
        <v>867</v>
      </c>
      <c r="D694" t="s">
        <v>898</v>
      </c>
      <c r="E694" t="s">
        <v>868</v>
      </c>
      <c r="F694" t="s">
        <v>869</v>
      </c>
      <c r="G694">
        <v>7</v>
      </c>
      <c r="H694" t="s">
        <v>954</v>
      </c>
      <c r="I694" t="s">
        <v>955</v>
      </c>
      <c r="J694" t="s">
        <v>872</v>
      </c>
      <c r="K694" t="s">
        <v>872</v>
      </c>
      <c r="L694">
        <v>1</v>
      </c>
      <c r="M694" s="5">
        <v>339384</v>
      </c>
      <c r="N694" s="5">
        <f>+M694*1.3</f>
        <v>441199.2</v>
      </c>
      <c r="O694" s="2">
        <f>+N694-M694</f>
        <v>101815.20000000001</v>
      </c>
    </row>
    <row r="695" spans="1:15" x14ac:dyDescent="0.2">
      <c r="A695" t="s">
        <v>88</v>
      </c>
      <c r="B695">
        <v>1</v>
      </c>
      <c r="C695" t="s">
        <v>867</v>
      </c>
      <c r="D695" t="s">
        <v>89</v>
      </c>
      <c r="E695" t="s">
        <v>868</v>
      </c>
      <c r="F695" t="s">
        <v>869</v>
      </c>
      <c r="G695">
        <v>77</v>
      </c>
      <c r="H695" t="s">
        <v>956</v>
      </c>
      <c r="I695" t="s">
        <v>957</v>
      </c>
      <c r="J695" t="s">
        <v>872</v>
      </c>
      <c r="K695" t="s">
        <v>872</v>
      </c>
      <c r="L695">
        <v>1</v>
      </c>
      <c r="M695" s="5">
        <v>62559</v>
      </c>
      <c r="N695" s="5">
        <f>+M695*1.3</f>
        <v>81326.7</v>
      </c>
      <c r="O695" s="2">
        <f>+N695-M695</f>
        <v>18767.699999999997</v>
      </c>
    </row>
    <row r="696" spans="1:15" x14ac:dyDescent="0.2">
      <c r="A696" t="s">
        <v>88</v>
      </c>
      <c r="B696">
        <v>1</v>
      </c>
      <c r="C696" t="s">
        <v>867</v>
      </c>
      <c r="D696" t="s">
        <v>89</v>
      </c>
      <c r="E696" t="s">
        <v>868</v>
      </c>
      <c r="F696" t="s">
        <v>869</v>
      </c>
      <c r="G696">
        <v>60</v>
      </c>
      <c r="H696" t="s">
        <v>958</v>
      </c>
      <c r="I696" t="s">
        <v>959</v>
      </c>
      <c r="J696" t="s">
        <v>872</v>
      </c>
      <c r="K696" t="s">
        <v>872</v>
      </c>
      <c r="L696">
        <v>1</v>
      </c>
      <c r="M696" s="5">
        <v>56028</v>
      </c>
      <c r="N696" s="5">
        <f>+M696*1.3</f>
        <v>72836.400000000009</v>
      </c>
      <c r="O696" s="2">
        <f>+N696-M696</f>
        <v>16808.400000000009</v>
      </c>
    </row>
    <row r="697" spans="1:15" x14ac:dyDescent="0.2">
      <c r="A697" t="s">
        <v>88</v>
      </c>
      <c r="B697">
        <v>1</v>
      </c>
      <c r="C697" t="s">
        <v>867</v>
      </c>
      <c r="D697" t="s">
        <v>89</v>
      </c>
      <c r="E697" t="s">
        <v>868</v>
      </c>
      <c r="F697" t="s">
        <v>869</v>
      </c>
      <c r="G697">
        <v>45</v>
      </c>
      <c r="H697" t="s">
        <v>960</v>
      </c>
      <c r="I697" t="s">
        <v>961</v>
      </c>
      <c r="J697" t="s">
        <v>872</v>
      </c>
      <c r="K697" t="s">
        <v>872</v>
      </c>
      <c r="L697">
        <v>1</v>
      </c>
      <c r="M697" s="5">
        <v>48521</v>
      </c>
      <c r="N697" s="5">
        <f>+M697*1.3</f>
        <v>63077.3</v>
      </c>
      <c r="O697" s="2">
        <f>+N697-M697</f>
        <v>14556.300000000003</v>
      </c>
    </row>
    <row r="698" spans="1:15" x14ac:dyDescent="0.2">
      <c r="A698" t="s">
        <v>28</v>
      </c>
      <c r="B698">
        <v>1</v>
      </c>
      <c r="C698" t="s">
        <v>867</v>
      </c>
      <c r="D698" t="s">
        <v>898</v>
      </c>
      <c r="E698" t="s">
        <v>868</v>
      </c>
      <c r="F698" t="s">
        <v>869</v>
      </c>
      <c r="G698">
        <v>5</v>
      </c>
      <c r="H698" t="s">
        <v>962</v>
      </c>
      <c r="I698" t="s">
        <v>963</v>
      </c>
      <c r="J698" t="s">
        <v>872</v>
      </c>
      <c r="K698" t="s">
        <v>872</v>
      </c>
      <c r="L698">
        <v>1</v>
      </c>
      <c r="M698" s="5">
        <v>306045</v>
      </c>
      <c r="N698" s="5">
        <f>+M698*1.3</f>
        <v>397858.5</v>
      </c>
      <c r="O698" s="2">
        <f>+N698-M698</f>
        <v>91813.5</v>
      </c>
    </row>
    <row r="699" spans="1:15" x14ac:dyDescent="0.2">
      <c r="A699" t="s">
        <v>88</v>
      </c>
      <c r="B699">
        <v>1</v>
      </c>
      <c r="C699" t="s">
        <v>867</v>
      </c>
      <c r="D699" t="s">
        <v>89</v>
      </c>
      <c r="E699" t="s">
        <v>868</v>
      </c>
      <c r="F699" t="s">
        <v>869</v>
      </c>
      <c r="G699">
        <v>87</v>
      </c>
      <c r="H699" t="s">
        <v>964</v>
      </c>
      <c r="I699" t="s">
        <v>965</v>
      </c>
      <c r="J699" t="s">
        <v>872</v>
      </c>
      <c r="K699" t="s">
        <v>872</v>
      </c>
      <c r="L699">
        <v>1</v>
      </c>
      <c r="M699" s="5">
        <v>68821</v>
      </c>
      <c r="N699" s="5">
        <f>+M699*1.3</f>
        <v>89467.3</v>
      </c>
      <c r="O699" s="2">
        <f>+N699-M699</f>
        <v>20646.300000000003</v>
      </c>
    </row>
    <row r="700" spans="1:15" x14ac:dyDescent="0.2">
      <c r="A700" t="s">
        <v>88</v>
      </c>
      <c r="B700">
        <v>1</v>
      </c>
      <c r="C700" t="s">
        <v>867</v>
      </c>
      <c r="D700" t="s">
        <v>89</v>
      </c>
      <c r="E700" t="s">
        <v>868</v>
      </c>
      <c r="F700" t="s">
        <v>869</v>
      </c>
      <c r="G700">
        <v>127</v>
      </c>
      <c r="H700" t="s">
        <v>966</v>
      </c>
      <c r="I700" t="s">
        <v>967</v>
      </c>
      <c r="J700" t="s">
        <v>872</v>
      </c>
      <c r="K700" t="s">
        <v>872</v>
      </c>
      <c r="L700">
        <v>1</v>
      </c>
      <c r="M700" s="5">
        <v>111537</v>
      </c>
      <c r="N700" s="5">
        <f>+M700*1.3</f>
        <v>144998.1</v>
      </c>
      <c r="O700" s="2">
        <f>+N700-M700</f>
        <v>33461.100000000006</v>
      </c>
    </row>
    <row r="701" spans="1:15" x14ac:dyDescent="0.2">
      <c r="A701" t="s">
        <v>88</v>
      </c>
      <c r="B701">
        <v>1</v>
      </c>
      <c r="C701" t="s">
        <v>867</v>
      </c>
      <c r="D701" t="s">
        <v>89</v>
      </c>
      <c r="E701" t="s">
        <v>868</v>
      </c>
      <c r="F701" t="s">
        <v>869</v>
      </c>
      <c r="G701">
        <v>142</v>
      </c>
      <c r="H701" t="s">
        <v>968</v>
      </c>
      <c r="I701" t="s">
        <v>969</v>
      </c>
      <c r="J701" t="s">
        <v>872</v>
      </c>
      <c r="K701" t="s">
        <v>872</v>
      </c>
      <c r="L701">
        <v>1</v>
      </c>
      <c r="M701" s="5">
        <v>141769</v>
      </c>
      <c r="N701" s="5">
        <f>+M701*1.3</f>
        <v>184299.7</v>
      </c>
      <c r="O701" s="2">
        <f>+N701-M701</f>
        <v>42530.700000000012</v>
      </c>
    </row>
    <row r="702" spans="1:15" x14ac:dyDescent="0.2">
      <c r="A702" t="s">
        <v>28</v>
      </c>
      <c r="B702">
        <v>1</v>
      </c>
      <c r="C702" t="s">
        <v>867</v>
      </c>
      <c r="D702" t="s">
        <v>891</v>
      </c>
      <c r="E702" t="s">
        <v>868</v>
      </c>
      <c r="F702" t="s">
        <v>869</v>
      </c>
      <c r="G702">
        <v>6</v>
      </c>
      <c r="H702" t="s">
        <v>970</v>
      </c>
      <c r="I702" t="s">
        <v>971</v>
      </c>
      <c r="J702" t="s">
        <v>872</v>
      </c>
      <c r="K702" t="s">
        <v>872</v>
      </c>
      <c r="L702">
        <v>1</v>
      </c>
      <c r="M702" s="5">
        <v>124949</v>
      </c>
      <c r="N702" s="5">
        <f>+M702*1.3</f>
        <v>162433.70000000001</v>
      </c>
      <c r="O702" s="2">
        <f>+N702-M702</f>
        <v>37484.700000000012</v>
      </c>
    </row>
    <row r="703" spans="1:15" x14ac:dyDescent="0.2">
      <c r="A703" t="s">
        <v>88</v>
      </c>
      <c r="B703">
        <v>1</v>
      </c>
      <c r="C703" t="s">
        <v>867</v>
      </c>
      <c r="D703" t="s">
        <v>89</v>
      </c>
      <c r="E703" t="s">
        <v>868</v>
      </c>
      <c r="F703" t="s">
        <v>869</v>
      </c>
      <c r="G703">
        <v>141</v>
      </c>
      <c r="H703" t="s">
        <v>972</v>
      </c>
      <c r="I703" t="s">
        <v>973</v>
      </c>
      <c r="J703" t="s">
        <v>872</v>
      </c>
      <c r="K703" t="s">
        <v>872</v>
      </c>
      <c r="L703">
        <v>1</v>
      </c>
      <c r="M703" s="5">
        <v>139611</v>
      </c>
      <c r="N703" s="5">
        <f>+M703*1.3</f>
        <v>181494.30000000002</v>
      </c>
      <c r="O703" s="2">
        <f>+N703-M703</f>
        <v>41883.300000000017</v>
      </c>
    </row>
    <row r="704" spans="1:15" x14ac:dyDescent="0.2">
      <c r="A704" t="s">
        <v>88</v>
      </c>
      <c r="B704">
        <v>1</v>
      </c>
      <c r="C704" t="s">
        <v>867</v>
      </c>
      <c r="D704" t="s">
        <v>89</v>
      </c>
      <c r="E704" t="s">
        <v>868</v>
      </c>
      <c r="F704" t="s">
        <v>869</v>
      </c>
      <c r="G704">
        <v>11</v>
      </c>
      <c r="H704" t="s">
        <v>974</v>
      </c>
      <c r="I704" t="s">
        <v>975</v>
      </c>
      <c r="J704" t="s">
        <v>872</v>
      </c>
      <c r="K704" t="s">
        <v>872</v>
      </c>
      <c r="L704">
        <v>1</v>
      </c>
      <c r="M704" s="5">
        <v>28068</v>
      </c>
      <c r="N704" s="5">
        <f>+M704*1.3</f>
        <v>36488.400000000001</v>
      </c>
      <c r="O704" s="2">
        <f>+N704-M704</f>
        <v>8420.4000000000015</v>
      </c>
    </row>
    <row r="705" spans="1:15" x14ac:dyDescent="0.2">
      <c r="A705" t="s">
        <v>88</v>
      </c>
      <c r="B705">
        <v>1</v>
      </c>
      <c r="C705" t="s">
        <v>867</v>
      </c>
      <c r="D705" t="s">
        <v>89</v>
      </c>
      <c r="E705" t="s">
        <v>868</v>
      </c>
      <c r="F705" t="s">
        <v>869</v>
      </c>
      <c r="G705">
        <v>119</v>
      </c>
      <c r="H705" t="s">
        <v>976</v>
      </c>
      <c r="I705" t="s">
        <v>977</v>
      </c>
      <c r="J705" t="s">
        <v>872</v>
      </c>
      <c r="K705" t="s">
        <v>872</v>
      </c>
      <c r="L705">
        <v>1</v>
      </c>
      <c r="M705" s="5">
        <v>95629</v>
      </c>
      <c r="N705" s="5">
        <f>+M705*1.3</f>
        <v>124317.7</v>
      </c>
      <c r="O705" s="2">
        <f>+N705-M705</f>
        <v>28688.699999999997</v>
      </c>
    </row>
    <row r="706" spans="1:15" x14ac:dyDescent="0.2">
      <c r="A706" t="s">
        <v>88</v>
      </c>
      <c r="B706">
        <v>1</v>
      </c>
      <c r="C706" t="s">
        <v>867</v>
      </c>
      <c r="D706" t="s">
        <v>89</v>
      </c>
      <c r="E706" t="s">
        <v>868</v>
      </c>
      <c r="F706" t="s">
        <v>869</v>
      </c>
      <c r="G706">
        <v>43</v>
      </c>
      <c r="H706" t="s">
        <v>978</v>
      </c>
      <c r="I706" t="s">
        <v>979</v>
      </c>
      <c r="J706" t="s">
        <v>872</v>
      </c>
      <c r="K706" t="s">
        <v>872</v>
      </c>
      <c r="L706">
        <v>1</v>
      </c>
      <c r="M706" s="5">
        <v>47891</v>
      </c>
      <c r="N706" s="5">
        <f>+M706*1.3</f>
        <v>62258.3</v>
      </c>
      <c r="O706" s="2">
        <f>+N706-M706</f>
        <v>14367.300000000003</v>
      </c>
    </row>
    <row r="707" spans="1:15" x14ac:dyDescent="0.2">
      <c r="A707" t="s">
        <v>88</v>
      </c>
      <c r="B707">
        <v>1</v>
      </c>
      <c r="C707" t="s">
        <v>867</v>
      </c>
      <c r="D707" t="s">
        <v>89</v>
      </c>
      <c r="E707" t="s">
        <v>868</v>
      </c>
      <c r="F707" t="s">
        <v>869</v>
      </c>
      <c r="G707">
        <v>65</v>
      </c>
      <c r="H707" t="s">
        <v>980</v>
      </c>
      <c r="I707" t="s">
        <v>981</v>
      </c>
      <c r="J707" t="s">
        <v>872</v>
      </c>
      <c r="K707" t="s">
        <v>872</v>
      </c>
      <c r="L707">
        <v>1</v>
      </c>
      <c r="M707" s="5">
        <v>58704</v>
      </c>
      <c r="N707" s="5">
        <f>+M707*1.3</f>
        <v>76315.199999999997</v>
      </c>
      <c r="O707" s="2">
        <f>+N707-M707</f>
        <v>17611.199999999997</v>
      </c>
    </row>
    <row r="708" spans="1:15" x14ac:dyDescent="0.2">
      <c r="A708" t="s">
        <v>88</v>
      </c>
      <c r="B708">
        <v>1</v>
      </c>
      <c r="C708" t="s">
        <v>867</v>
      </c>
      <c r="D708" t="s">
        <v>89</v>
      </c>
      <c r="E708" t="s">
        <v>868</v>
      </c>
      <c r="F708" t="s">
        <v>869</v>
      </c>
      <c r="G708">
        <v>20</v>
      </c>
      <c r="H708" t="s">
        <v>982</v>
      </c>
      <c r="I708" t="s">
        <v>983</v>
      </c>
      <c r="J708" t="s">
        <v>872</v>
      </c>
      <c r="K708" t="s">
        <v>872</v>
      </c>
      <c r="L708">
        <v>1</v>
      </c>
      <c r="M708" s="5">
        <v>33176</v>
      </c>
      <c r="N708" s="5">
        <f>+M708*1.3</f>
        <v>43128.800000000003</v>
      </c>
      <c r="O708" s="2">
        <f>+N708-M708</f>
        <v>9952.8000000000029</v>
      </c>
    </row>
    <row r="709" spans="1:15" x14ac:dyDescent="0.2">
      <c r="A709" t="s">
        <v>88</v>
      </c>
      <c r="B709">
        <v>1</v>
      </c>
      <c r="C709" t="s">
        <v>867</v>
      </c>
      <c r="D709" t="s">
        <v>89</v>
      </c>
      <c r="E709" t="s">
        <v>868</v>
      </c>
      <c r="F709" t="s">
        <v>869</v>
      </c>
      <c r="G709">
        <v>143</v>
      </c>
      <c r="H709" t="s">
        <v>984</v>
      </c>
      <c r="I709" t="s">
        <v>985</v>
      </c>
      <c r="J709" t="s">
        <v>872</v>
      </c>
      <c r="K709" t="s">
        <v>872</v>
      </c>
      <c r="L709">
        <v>1</v>
      </c>
      <c r="M709" s="5">
        <v>144180</v>
      </c>
      <c r="N709" s="5">
        <f>+M709*1.3</f>
        <v>187434</v>
      </c>
      <c r="O709" s="2">
        <f>+N709-M709</f>
        <v>43254</v>
      </c>
    </row>
    <row r="710" spans="1:15" x14ac:dyDescent="0.2">
      <c r="A710" t="s">
        <v>88</v>
      </c>
      <c r="B710">
        <v>1</v>
      </c>
      <c r="C710" t="s">
        <v>867</v>
      </c>
      <c r="D710" t="s">
        <v>89</v>
      </c>
      <c r="E710" t="s">
        <v>868</v>
      </c>
      <c r="F710" t="s">
        <v>869</v>
      </c>
      <c r="G710">
        <v>76</v>
      </c>
      <c r="H710" t="s">
        <v>986</v>
      </c>
      <c r="I710" t="s">
        <v>987</v>
      </c>
      <c r="J710" t="s">
        <v>872</v>
      </c>
      <c r="K710" t="s">
        <v>872</v>
      </c>
      <c r="L710">
        <v>1</v>
      </c>
      <c r="M710" s="5">
        <v>62342</v>
      </c>
      <c r="N710" s="5">
        <f>+M710*1.3</f>
        <v>81044.600000000006</v>
      </c>
      <c r="O710" s="2">
        <f>+N710-M710</f>
        <v>18702.600000000006</v>
      </c>
    </row>
    <row r="711" spans="1:15" x14ac:dyDescent="0.2">
      <c r="A711" t="s">
        <v>88</v>
      </c>
      <c r="B711">
        <v>1</v>
      </c>
      <c r="C711" t="s">
        <v>867</v>
      </c>
      <c r="D711" t="s">
        <v>89</v>
      </c>
      <c r="E711" t="s">
        <v>868</v>
      </c>
      <c r="F711" t="s">
        <v>869</v>
      </c>
      <c r="G711">
        <v>144</v>
      </c>
      <c r="H711" t="s">
        <v>988</v>
      </c>
      <c r="I711" t="s">
        <v>989</v>
      </c>
      <c r="J711" t="s">
        <v>872</v>
      </c>
      <c r="K711" t="s">
        <v>872</v>
      </c>
      <c r="L711">
        <v>1</v>
      </c>
      <c r="M711" s="5">
        <v>146031</v>
      </c>
      <c r="N711" s="5">
        <f>+M711*1.3</f>
        <v>189840.30000000002</v>
      </c>
      <c r="O711" s="2">
        <f>+N711-M711</f>
        <v>43809.300000000017</v>
      </c>
    </row>
    <row r="712" spans="1:15" x14ac:dyDescent="0.2">
      <c r="A712" t="s">
        <v>88</v>
      </c>
      <c r="B712">
        <v>1</v>
      </c>
      <c r="C712" t="s">
        <v>867</v>
      </c>
      <c r="D712" t="s">
        <v>89</v>
      </c>
      <c r="E712" t="s">
        <v>868</v>
      </c>
      <c r="F712" t="s">
        <v>869</v>
      </c>
      <c r="G712">
        <v>133</v>
      </c>
      <c r="H712" t="s">
        <v>990</v>
      </c>
      <c r="I712" t="s">
        <v>991</v>
      </c>
      <c r="J712" t="s">
        <v>872</v>
      </c>
      <c r="K712" t="s">
        <v>872</v>
      </c>
      <c r="L712">
        <v>1</v>
      </c>
      <c r="M712" s="5">
        <v>119471</v>
      </c>
      <c r="N712" s="5">
        <f>+M712*1.3</f>
        <v>155312.30000000002</v>
      </c>
      <c r="O712" s="2">
        <f>+N712-M712</f>
        <v>35841.300000000017</v>
      </c>
    </row>
    <row r="713" spans="1:15" x14ac:dyDescent="0.2">
      <c r="A713" t="s">
        <v>88</v>
      </c>
      <c r="B713">
        <v>1</v>
      </c>
      <c r="C713" t="s">
        <v>867</v>
      </c>
      <c r="D713" t="s">
        <v>89</v>
      </c>
      <c r="E713" t="s">
        <v>868</v>
      </c>
      <c r="F713" t="s">
        <v>869</v>
      </c>
      <c r="G713">
        <v>149</v>
      </c>
      <c r="H713" t="s">
        <v>992</v>
      </c>
      <c r="I713" t="s">
        <v>993</v>
      </c>
      <c r="J713" t="s">
        <v>872</v>
      </c>
      <c r="K713" t="s">
        <v>872</v>
      </c>
      <c r="L713">
        <v>1</v>
      </c>
      <c r="M713" s="5">
        <v>164468</v>
      </c>
      <c r="N713" s="5">
        <f>+M713*1.3</f>
        <v>213808.4</v>
      </c>
      <c r="O713" s="2">
        <f>+N713-M713</f>
        <v>49340.399999999994</v>
      </c>
    </row>
    <row r="714" spans="1:15" x14ac:dyDescent="0.2">
      <c r="A714" t="s">
        <v>88</v>
      </c>
      <c r="B714">
        <v>1</v>
      </c>
      <c r="C714" t="s">
        <v>867</v>
      </c>
      <c r="D714" t="s">
        <v>89</v>
      </c>
      <c r="E714" t="s">
        <v>868</v>
      </c>
      <c r="F714" t="s">
        <v>869</v>
      </c>
      <c r="G714">
        <v>115</v>
      </c>
      <c r="H714" t="s">
        <v>994</v>
      </c>
      <c r="I714" t="s">
        <v>995</v>
      </c>
      <c r="J714" t="s">
        <v>872</v>
      </c>
      <c r="K714" t="s">
        <v>872</v>
      </c>
      <c r="L714">
        <v>1</v>
      </c>
      <c r="M714" s="5">
        <v>85925</v>
      </c>
      <c r="N714" s="5">
        <f>+M714*1.3</f>
        <v>111702.5</v>
      </c>
      <c r="O714" s="2">
        <f>+N714-M714</f>
        <v>25777.5</v>
      </c>
    </row>
    <row r="715" spans="1:15" x14ac:dyDescent="0.2">
      <c r="A715" t="s">
        <v>88</v>
      </c>
      <c r="B715">
        <v>1</v>
      </c>
      <c r="C715" t="s">
        <v>867</v>
      </c>
      <c r="D715" t="s">
        <v>89</v>
      </c>
      <c r="E715" t="s">
        <v>868</v>
      </c>
      <c r="F715" t="s">
        <v>869</v>
      </c>
      <c r="G715">
        <v>49</v>
      </c>
      <c r="H715" t="s">
        <v>996</v>
      </c>
      <c r="I715" t="s">
        <v>997</v>
      </c>
      <c r="J715" t="s">
        <v>872</v>
      </c>
      <c r="K715" t="s">
        <v>872</v>
      </c>
      <c r="L715">
        <v>1</v>
      </c>
      <c r="M715" s="5">
        <v>50872</v>
      </c>
      <c r="N715" s="5">
        <f>+M715*1.3</f>
        <v>66133.600000000006</v>
      </c>
      <c r="O715" s="2">
        <f>+N715-M715</f>
        <v>15261.600000000006</v>
      </c>
    </row>
    <row r="716" spans="1:15" x14ac:dyDescent="0.2">
      <c r="A716" t="s">
        <v>88</v>
      </c>
      <c r="B716">
        <v>1</v>
      </c>
      <c r="C716" t="s">
        <v>867</v>
      </c>
      <c r="D716" t="s">
        <v>89</v>
      </c>
      <c r="E716" t="s">
        <v>868</v>
      </c>
      <c r="F716" t="s">
        <v>869</v>
      </c>
      <c r="G716">
        <v>137</v>
      </c>
      <c r="H716" t="s">
        <v>998</v>
      </c>
      <c r="I716" t="s">
        <v>999</v>
      </c>
      <c r="J716" t="s">
        <v>872</v>
      </c>
      <c r="K716" t="s">
        <v>872</v>
      </c>
      <c r="L716">
        <v>1</v>
      </c>
      <c r="M716" s="5">
        <v>125572</v>
      </c>
      <c r="N716" s="5">
        <f>+M716*1.3</f>
        <v>163243.6</v>
      </c>
      <c r="O716" s="2">
        <f>+N716-M716</f>
        <v>37671.600000000006</v>
      </c>
    </row>
    <row r="717" spans="1:15" x14ac:dyDescent="0.2">
      <c r="A717" t="s">
        <v>13</v>
      </c>
      <c r="B717">
        <v>2</v>
      </c>
      <c r="C717" t="s">
        <v>867</v>
      </c>
      <c r="D717" t="s">
        <v>1000</v>
      </c>
      <c r="E717" t="s">
        <v>868</v>
      </c>
      <c r="F717" t="s">
        <v>869</v>
      </c>
      <c r="G717">
        <v>2</v>
      </c>
      <c r="H717" t="s">
        <v>1001</v>
      </c>
      <c r="I717" t="s">
        <v>1002</v>
      </c>
      <c r="J717" t="s">
        <v>872</v>
      </c>
      <c r="K717" t="s">
        <v>872</v>
      </c>
      <c r="L717">
        <v>1</v>
      </c>
      <c r="M717" s="5">
        <v>140363</v>
      </c>
      <c r="N717" s="5">
        <f>+M717*1.3</f>
        <v>182471.9</v>
      </c>
      <c r="O717" s="2">
        <f>+N717-M717</f>
        <v>42108.899999999994</v>
      </c>
    </row>
    <row r="718" spans="1:15" x14ac:dyDescent="0.2">
      <c r="A718" t="s">
        <v>35</v>
      </c>
      <c r="B718">
        <v>1</v>
      </c>
      <c r="C718" t="s">
        <v>867</v>
      </c>
      <c r="D718" t="s">
        <v>1000</v>
      </c>
      <c r="E718" t="s">
        <v>868</v>
      </c>
      <c r="F718" t="s">
        <v>869</v>
      </c>
      <c r="G718">
        <v>2</v>
      </c>
      <c r="H718" t="s">
        <v>1001</v>
      </c>
      <c r="I718" t="s">
        <v>1002</v>
      </c>
      <c r="J718" t="s">
        <v>872</v>
      </c>
      <c r="K718" t="s">
        <v>872</v>
      </c>
      <c r="L718">
        <v>1</v>
      </c>
      <c r="M718" s="5">
        <v>140363</v>
      </c>
      <c r="N718" s="5">
        <f>+M718*1.3</f>
        <v>182471.9</v>
      </c>
      <c r="O718" s="2">
        <f>+N718-M718</f>
        <v>42108.899999999994</v>
      </c>
    </row>
    <row r="719" spans="1:15" x14ac:dyDescent="0.2">
      <c r="A719" t="s">
        <v>88</v>
      </c>
      <c r="B719">
        <v>1</v>
      </c>
      <c r="C719" t="s">
        <v>867</v>
      </c>
      <c r="D719" t="s">
        <v>89</v>
      </c>
      <c r="E719" t="s">
        <v>868</v>
      </c>
      <c r="F719" t="s">
        <v>1003</v>
      </c>
      <c r="G719">
        <v>64</v>
      </c>
      <c r="H719" t="s">
        <v>1004</v>
      </c>
      <c r="I719" t="s">
        <v>1005</v>
      </c>
      <c r="J719" t="s">
        <v>872</v>
      </c>
      <c r="K719" t="s">
        <v>872</v>
      </c>
      <c r="L719">
        <v>1</v>
      </c>
      <c r="M719" s="5">
        <v>57983</v>
      </c>
      <c r="N719" s="5">
        <f>+M719*1.3</f>
        <v>75377.900000000009</v>
      </c>
      <c r="O719" s="2">
        <f>+N719-M719</f>
        <v>17394.900000000009</v>
      </c>
    </row>
    <row r="720" spans="1:15" x14ac:dyDescent="0.2">
      <c r="A720" t="s">
        <v>88</v>
      </c>
      <c r="B720">
        <v>1</v>
      </c>
      <c r="C720" t="s">
        <v>867</v>
      </c>
      <c r="D720" t="s">
        <v>89</v>
      </c>
      <c r="E720" t="s">
        <v>868</v>
      </c>
      <c r="F720" t="s">
        <v>1003</v>
      </c>
      <c r="G720">
        <v>46</v>
      </c>
      <c r="H720" t="s">
        <v>1006</v>
      </c>
      <c r="I720" t="s">
        <v>1007</v>
      </c>
      <c r="J720" t="s">
        <v>872</v>
      </c>
      <c r="K720" t="s">
        <v>872</v>
      </c>
      <c r="L720">
        <v>1</v>
      </c>
      <c r="M720" s="5">
        <v>48724</v>
      </c>
      <c r="N720" s="5">
        <f>+M720*1.3</f>
        <v>63341.200000000004</v>
      </c>
      <c r="O720" s="2">
        <f>+N720-M720</f>
        <v>14617.200000000004</v>
      </c>
    </row>
    <row r="721" spans="1:15" x14ac:dyDescent="0.2">
      <c r="A721" t="s">
        <v>88</v>
      </c>
      <c r="B721">
        <v>1</v>
      </c>
      <c r="C721" t="s">
        <v>867</v>
      </c>
      <c r="D721" t="s">
        <v>89</v>
      </c>
      <c r="E721" t="s">
        <v>868</v>
      </c>
      <c r="F721" t="s">
        <v>1003</v>
      </c>
      <c r="G721">
        <v>134</v>
      </c>
      <c r="H721" t="s">
        <v>1008</v>
      </c>
      <c r="I721" t="s">
        <v>1009</v>
      </c>
      <c r="J721" t="s">
        <v>872</v>
      </c>
      <c r="K721" t="s">
        <v>872</v>
      </c>
      <c r="L721">
        <v>1</v>
      </c>
      <c r="M721" s="5">
        <v>120082</v>
      </c>
      <c r="N721" s="5">
        <f>+M721*1.3</f>
        <v>156106.6</v>
      </c>
      <c r="O721" s="2">
        <f>+N721-M721</f>
        <v>36024.600000000006</v>
      </c>
    </row>
    <row r="722" spans="1:15" x14ac:dyDescent="0.2">
      <c r="A722" t="s">
        <v>88</v>
      </c>
      <c r="B722">
        <v>1</v>
      </c>
      <c r="C722" t="s">
        <v>867</v>
      </c>
      <c r="D722" t="s">
        <v>89</v>
      </c>
      <c r="E722" t="s">
        <v>868</v>
      </c>
      <c r="F722" t="s">
        <v>1003</v>
      </c>
      <c r="G722">
        <v>125</v>
      </c>
      <c r="H722" t="s">
        <v>1010</v>
      </c>
      <c r="I722" t="s">
        <v>1011</v>
      </c>
      <c r="J722" t="s">
        <v>872</v>
      </c>
      <c r="K722" t="s">
        <v>872</v>
      </c>
      <c r="L722">
        <v>1</v>
      </c>
      <c r="M722" s="5">
        <v>109170</v>
      </c>
      <c r="N722" s="5">
        <f>+M722*1.3</f>
        <v>141921</v>
      </c>
      <c r="O722" s="2">
        <f>+N722-M722</f>
        <v>32751</v>
      </c>
    </row>
    <row r="723" spans="1:15" x14ac:dyDescent="0.2">
      <c r="A723" t="s">
        <v>88</v>
      </c>
      <c r="B723">
        <v>1</v>
      </c>
      <c r="C723" t="s">
        <v>867</v>
      </c>
      <c r="D723" t="s">
        <v>89</v>
      </c>
      <c r="E723" t="s">
        <v>868</v>
      </c>
      <c r="F723" t="s">
        <v>1003</v>
      </c>
      <c r="G723">
        <v>129</v>
      </c>
      <c r="H723" t="s">
        <v>1012</v>
      </c>
      <c r="I723" t="s">
        <v>1013</v>
      </c>
      <c r="J723" t="s">
        <v>872</v>
      </c>
      <c r="K723" t="s">
        <v>872</v>
      </c>
      <c r="L723">
        <v>1</v>
      </c>
      <c r="M723" s="5">
        <v>115116</v>
      </c>
      <c r="N723" s="5">
        <f>+M723*1.3</f>
        <v>149650.80000000002</v>
      </c>
      <c r="O723" s="2">
        <f>+N723-M723</f>
        <v>34534.800000000017</v>
      </c>
    </row>
    <row r="724" spans="1:15" x14ac:dyDescent="0.2">
      <c r="A724" t="s">
        <v>88</v>
      </c>
      <c r="B724">
        <v>1</v>
      </c>
      <c r="C724" t="s">
        <v>867</v>
      </c>
      <c r="D724" t="s">
        <v>89</v>
      </c>
      <c r="E724" t="s">
        <v>868</v>
      </c>
      <c r="F724" t="s">
        <v>1003</v>
      </c>
      <c r="G724">
        <v>59</v>
      </c>
      <c r="H724" t="s">
        <v>1014</v>
      </c>
      <c r="I724" t="s">
        <v>1015</v>
      </c>
      <c r="J724" t="s">
        <v>872</v>
      </c>
      <c r="K724" t="s">
        <v>872</v>
      </c>
      <c r="L724">
        <v>1</v>
      </c>
      <c r="M724" s="5">
        <v>55810</v>
      </c>
      <c r="N724" s="5">
        <f>+M724*1.3</f>
        <v>72553</v>
      </c>
      <c r="O724" s="2">
        <f>+N724-M724</f>
        <v>16743</v>
      </c>
    </row>
    <row r="725" spans="1:15" x14ac:dyDescent="0.2">
      <c r="A725" t="s">
        <v>88</v>
      </c>
      <c r="B725">
        <v>1</v>
      </c>
      <c r="C725" t="s">
        <v>867</v>
      </c>
      <c r="D725" t="s">
        <v>89</v>
      </c>
      <c r="E725" t="s">
        <v>868</v>
      </c>
      <c r="F725" t="s">
        <v>1003</v>
      </c>
      <c r="G725">
        <v>72</v>
      </c>
      <c r="H725" t="s">
        <v>1016</v>
      </c>
      <c r="I725" t="s">
        <v>1017</v>
      </c>
      <c r="J725" t="s">
        <v>872</v>
      </c>
      <c r="K725" t="s">
        <v>872</v>
      </c>
      <c r="L725">
        <v>1</v>
      </c>
      <c r="M725" s="5">
        <v>60909</v>
      </c>
      <c r="N725" s="5">
        <f>+M725*1.3</f>
        <v>79181.7</v>
      </c>
      <c r="O725" s="2">
        <f>+N725-M725</f>
        <v>18272.699999999997</v>
      </c>
    </row>
    <row r="726" spans="1:15" x14ac:dyDescent="0.2">
      <c r="A726" t="s">
        <v>88</v>
      </c>
      <c r="B726">
        <v>1</v>
      </c>
      <c r="C726" t="s">
        <v>867</v>
      </c>
      <c r="D726" t="s">
        <v>89</v>
      </c>
      <c r="E726" t="s">
        <v>868</v>
      </c>
      <c r="F726" t="s">
        <v>1003</v>
      </c>
      <c r="G726">
        <v>75</v>
      </c>
      <c r="H726" t="s">
        <v>1018</v>
      </c>
      <c r="I726" t="s">
        <v>1015</v>
      </c>
      <c r="J726" t="s">
        <v>872</v>
      </c>
      <c r="K726" t="s">
        <v>872</v>
      </c>
      <c r="L726">
        <v>1</v>
      </c>
      <c r="M726" s="5">
        <v>62011</v>
      </c>
      <c r="N726" s="5">
        <f>+M726*1.3</f>
        <v>80614.3</v>
      </c>
      <c r="O726" s="2">
        <f>+N726-M726</f>
        <v>18603.300000000003</v>
      </c>
    </row>
    <row r="727" spans="1:15" x14ac:dyDescent="0.2">
      <c r="A727" t="s">
        <v>88</v>
      </c>
      <c r="B727">
        <v>1</v>
      </c>
      <c r="C727" t="s">
        <v>867</v>
      </c>
      <c r="D727" t="s">
        <v>89</v>
      </c>
      <c r="E727" t="s">
        <v>868</v>
      </c>
      <c r="F727" t="s">
        <v>1019</v>
      </c>
      <c r="G727">
        <v>61</v>
      </c>
      <c r="H727" t="s">
        <v>1020</v>
      </c>
      <c r="I727" t="s">
        <v>1021</v>
      </c>
      <c r="J727" t="s">
        <v>872</v>
      </c>
      <c r="K727" t="s">
        <v>872</v>
      </c>
      <c r="L727">
        <v>1</v>
      </c>
      <c r="M727" s="5">
        <v>56238</v>
      </c>
      <c r="N727" s="5">
        <f>+M727*1.3</f>
        <v>73109.400000000009</v>
      </c>
      <c r="O727" s="2">
        <f>+N727-M727</f>
        <v>16871.400000000009</v>
      </c>
    </row>
    <row r="728" spans="1:15" x14ac:dyDescent="0.2">
      <c r="A728" t="s">
        <v>88</v>
      </c>
      <c r="B728">
        <v>1</v>
      </c>
      <c r="C728" t="s">
        <v>867</v>
      </c>
      <c r="D728" t="s">
        <v>89</v>
      </c>
      <c r="E728" t="s">
        <v>868</v>
      </c>
      <c r="F728" t="s">
        <v>1019</v>
      </c>
      <c r="G728">
        <v>53</v>
      </c>
      <c r="H728" t="s">
        <v>1022</v>
      </c>
      <c r="I728" t="s">
        <v>1023</v>
      </c>
      <c r="J728" t="s">
        <v>872</v>
      </c>
      <c r="K728" t="s">
        <v>872</v>
      </c>
      <c r="L728">
        <v>1</v>
      </c>
      <c r="M728" s="5">
        <v>51735</v>
      </c>
      <c r="N728" s="5">
        <f>+M728*1.3</f>
        <v>67255.5</v>
      </c>
      <c r="O728" s="2">
        <f>+N728-M728</f>
        <v>15520.5</v>
      </c>
    </row>
    <row r="729" spans="1:15" x14ac:dyDescent="0.2">
      <c r="A729" t="s">
        <v>88</v>
      </c>
      <c r="B729">
        <v>1</v>
      </c>
      <c r="C729" t="s">
        <v>867</v>
      </c>
      <c r="D729" t="s">
        <v>89</v>
      </c>
      <c r="E729" t="s">
        <v>868</v>
      </c>
      <c r="F729" t="s">
        <v>1019</v>
      </c>
      <c r="G729">
        <v>106</v>
      </c>
      <c r="H729" t="s">
        <v>1024</v>
      </c>
      <c r="I729" t="s">
        <v>1025</v>
      </c>
      <c r="J729" t="s">
        <v>872</v>
      </c>
      <c r="K729" t="s">
        <v>872</v>
      </c>
      <c r="L729">
        <v>1</v>
      </c>
      <c r="M729" s="5">
        <v>80560</v>
      </c>
      <c r="N729" s="5">
        <f>+M729*1.3</f>
        <v>104728</v>
      </c>
      <c r="O729" s="2">
        <f>+N729-M729</f>
        <v>24168</v>
      </c>
    </row>
    <row r="730" spans="1:15" x14ac:dyDescent="0.2">
      <c r="A730" t="s">
        <v>88</v>
      </c>
      <c r="B730">
        <v>1</v>
      </c>
      <c r="C730" t="s">
        <v>867</v>
      </c>
      <c r="D730" t="s">
        <v>89</v>
      </c>
      <c r="E730" t="s">
        <v>868</v>
      </c>
      <c r="F730" t="s">
        <v>1019</v>
      </c>
      <c r="G730">
        <v>108</v>
      </c>
      <c r="H730" t="s">
        <v>1026</v>
      </c>
      <c r="I730" t="s">
        <v>1027</v>
      </c>
      <c r="J730" t="s">
        <v>872</v>
      </c>
      <c r="K730" t="s">
        <v>872</v>
      </c>
      <c r="L730">
        <v>1</v>
      </c>
      <c r="M730" s="5">
        <v>81233</v>
      </c>
      <c r="N730" s="5">
        <f>+M730*1.3</f>
        <v>105602.90000000001</v>
      </c>
      <c r="O730" s="2">
        <f>+N730-M730</f>
        <v>24369.900000000009</v>
      </c>
    </row>
    <row r="731" spans="1:15" x14ac:dyDescent="0.2">
      <c r="A731" t="s">
        <v>13</v>
      </c>
      <c r="B731">
        <v>2</v>
      </c>
      <c r="C731" t="s">
        <v>867</v>
      </c>
      <c r="D731" t="s">
        <v>1028</v>
      </c>
      <c r="E731" t="s">
        <v>868</v>
      </c>
      <c r="F731" t="s">
        <v>1019</v>
      </c>
      <c r="G731">
        <v>1</v>
      </c>
      <c r="H731" t="s">
        <v>1029</v>
      </c>
      <c r="I731" t="s">
        <v>1030</v>
      </c>
      <c r="J731" t="s">
        <v>872</v>
      </c>
      <c r="K731" t="s">
        <v>872</v>
      </c>
      <c r="L731">
        <v>1</v>
      </c>
      <c r="M731" s="5">
        <v>65589</v>
      </c>
      <c r="N731" s="5">
        <f>+M731*1.3</f>
        <v>85265.7</v>
      </c>
      <c r="O731" s="2">
        <f>+N731-M731</f>
        <v>19676.699999999997</v>
      </c>
    </row>
    <row r="732" spans="1:15" x14ac:dyDescent="0.2">
      <c r="A732" t="s">
        <v>35</v>
      </c>
      <c r="B732">
        <v>1</v>
      </c>
      <c r="C732" t="s">
        <v>867</v>
      </c>
      <c r="D732" t="s">
        <v>1028</v>
      </c>
      <c r="E732" t="s">
        <v>868</v>
      </c>
      <c r="F732" t="s">
        <v>1019</v>
      </c>
      <c r="G732">
        <v>1</v>
      </c>
      <c r="H732" t="s">
        <v>1029</v>
      </c>
      <c r="I732" t="s">
        <v>1030</v>
      </c>
      <c r="J732" t="s">
        <v>872</v>
      </c>
      <c r="K732" t="s">
        <v>872</v>
      </c>
      <c r="L732">
        <v>1</v>
      </c>
      <c r="M732" s="5">
        <v>65589</v>
      </c>
      <c r="N732" s="5">
        <f>+M732*1.3</f>
        <v>85265.7</v>
      </c>
      <c r="O732" s="2">
        <f>+N732-M732</f>
        <v>19676.699999999997</v>
      </c>
    </row>
    <row r="733" spans="1:15" x14ac:dyDescent="0.2">
      <c r="A733" t="s">
        <v>88</v>
      </c>
      <c r="B733">
        <v>1</v>
      </c>
      <c r="C733" t="s">
        <v>867</v>
      </c>
      <c r="D733" t="s">
        <v>89</v>
      </c>
      <c r="E733" t="s">
        <v>868</v>
      </c>
      <c r="F733" t="s">
        <v>1019</v>
      </c>
      <c r="G733">
        <v>102</v>
      </c>
      <c r="H733" t="s">
        <v>1031</v>
      </c>
      <c r="I733" t="s">
        <v>1032</v>
      </c>
      <c r="J733" t="s">
        <v>872</v>
      </c>
      <c r="K733" t="s">
        <v>872</v>
      </c>
      <c r="L733">
        <v>1</v>
      </c>
      <c r="M733" s="5">
        <v>77268</v>
      </c>
      <c r="N733" s="5">
        <f>+M733*1.3</f>
        <v>100448.40000000001</v>
      </c>
      <c r="O733" s="2">
        <f>+N733-M733</f>
        <v>23180.400000000009</v>
      </c>
    </row>
    <row r="734" spans="1:15" x14ac:dyDescent="0.2">
      <c r="A734" t="s">
        <v>88</v>
      </c>
      <c r="B734">
        <v>1</v>
      </c>
      <c r="C734" t="s">
        <v>867</v>
      </c>
      <c r="D734" t="s">
        <v>89</v>
      </c>
      <c r="E734" t="s">
        <v>868</v>
      </c>
      <c r="F734" t="s">
        <v>1019</v>
      </c>
      <c r="G734">
        <v>2</v>
      </c>
      <c r="H734" t="s">
        <v>1033</v>
      </c>
      <c r="I734" t="s">
        <v>1034</v>
      </c>
      <c r="J734" t="s">
        <v>872</v>
      </c>
      <c r="K734" t="s">
        <v>872</v>
      </c>
      <c r="L734">
        <v>1</v>
      </c>
      <c r="M734" s="5">
        <v>22139</v>
      </c>
      <c r="N734" s="5">
        <f>+M734*1.3</f>
        <v>28780.7</v>
      </c>
      <c r="O734" s="2">
        <f>+N734-M734</f>
        <v>6641.7000000000007</v>
      </c>
    </row>
    <row r="735" spans="1:15" x14ac:dyDescent="0.2">
      <c r="A735" t="s">
        <v>13</v>
      </c>
      <c r="B735">
        <v>2</v>
      </c>
      <c r="C735" t="s">
        <v>867</v>
      </c>
      <c r="D735" t="s">
        <v>1035</v>
      </c>
      <c r="E735" t="s">
        <v>868</v>
      </c>
      <c r="F735" t="s">
        <v>1019</v>
      </c>
      <c r="G735">
        <v>1</v>
      </c>
      <c r="H735" t="s">
        <v>1036</v>
      </c>
      <c r="I735" t="s">
        <v>1037</v>
      </c>
      <c r="J735" t="s">
        <v>872</v>
      </c>
      <c r="K735" t="s">
        <v>872</v>
      </c>
      <c r="L735">
        <v>1</v>
      </c>
      <c r="M735" s="5">
        <v>66053</v>
      </c>
      <c r="N735" s="5">
        <f>+M735*1.3</f>
        <v>85868.900000000009</v>
      </c>
      <c r="O735" s="2">
        <f>+N735-M735</f>
        <v>19815.900000000009</v>
      </c>
    </row>
    <row r="736" spans="1:15" x14ac:dyDescent="0.2">
      <c r="A736" t="s">
        <v>35</v>
      </c>
      <c r="B736">
        <v>1</v>
      </c>
      <c r="C736" t="s">
        <v>867</v>
      </c>
      <c r="D736" t="s">
        <v>1035</v>
      </c>
      <c r="E736" t="s">
        <v>868</v>
      </c>
      <c r="F736" t="s">
        <v>1019</v>
      </c>
      <c r="G736">
        <v>1</v>
      </c>
      <c r="H736" t="s">
        <v>1036</v>
      </c>
      <c r="I736" t="s">
        <v>1037</v>
      </c>
      <c r="J736" t="s">
        <v>872</v>
      </c>
      <c r="K736" t="s">
        <v>872</v>
      </c>
      <c r="L736">
        <v>1</v>
      </c>
      <c r="M736" s="5">
        <v>66053</v>
      </c>
      <c r="N736" s="5">
        <f>+M736*1.3</f>
        <v>85868.900000000009</v>
      </c>
      <c r="O736" s="2">
        <f>+N736-M736</f>
        <v>19815.900000000009</v>
      </c>
    </row>
    <row r="737" spans="1:15" x14ac:dyDescent="0.2">
      <c r="A737" t="s">
        <v>28</v>
      </c>
      <c r="B737">
        <v>1</v>
      </c>
      <c r="C737" t="s">
        <v>867</v>
      </c>
      <c r="D737" t="s">
        <v>1038</v>
      </c>
      <c r="E737" t="s">
        <v>868</v>
      </c>
      <c r="F737" t="s">
        <v>1019</v>
      </c>
      <c r="G737">
        <v>1</v>
      </c>
      <c r="H737" t="s">
        <v>1039</v>
      </c>
      <c r="I737" t="s">
        <v>1040</v>
      </c>
      <c r="J737" t="s">
        <v>872</v>
      </c>
      <c r="K737" t="s">
        <v>872</v>
      </c>
      <c r="L737">
        <v>1</v>
      </c>
      <c r="M737" s="5">
        <v>271616</v>
      </c>
      <c r="N737" s="5">
        <f>+M737*1.3</f>
        <v>353100.79999999999</v>
      </c>
      <c r="O737" s="2">
        <f>+N737-M737</f>
        <v>81484.799999999988</v>
      </c>
    </row>
    <row r="738" spans="1:15" x14ac:dyDescent="0.2">
      <c r="A738" t="s">
        <v>88</v>
      </c>
      <c r="B738">
        <v>1</v>
      </c>
      <c r="C738" t="s">
        <v>867</v>
      </c>
      <c r="D738" t="s">
        <v>89</v>
      </c>
      <c r="E738" t="s">
        <v>868</v>
      </c>
      <c r="F738" t="s">
        <v>1019</v>
      </c>
      <c r="G738">
        <v>13</v>
      </c>
      <c r="H738" t="s">
        <v>1041</v>
      </c>
      <c r="I738" t="s">
        <v>1042</v>
      </c>
      <c r="J738" t="s">
        <v>872</v>
      </c>
      <c r="K738" t="s">
        <v>872</v>
      </c>
      <c r="L738">
        <v>1</v>
      </c>
      <c r="M738" s="5">
        <v>29387</v>
      </c>
      <c r="N738" s="5">
        <f>+M738*1.3</f>
        <v>38203.1</v>
      </c>
      <c r="O738" s="2">
        <f>+N738-M738</f>
        <v>8816.0999999999985</v>
      </c>
    </row>
    <row r="739" spans="1:15" x14ac:dyDescent="0.2">
      <c r="A739" t="s">
        <v>13</v>
      </c>
      <c r="B739">
        <v>2</v>
      </c>
      <c r="C739" t="s">
        <v>867</v>
      </c>
      <c r="D739" t="s">
        <v>1043</v>
      </c>
      <c r="E739" t="s">
        <v>868</v>
      </c>
      <c r="F739" t="s">
        <v>1019</v>
      </c>
      <c r="G739">
        <v>1</v>
      </c>
      <c r="H739" t="s">
        <v>1044</v>
      </c>
      <c r="I739" t="s">
        <v>1045</v>
      </c>
      <c r="J739" t="s">
        <v>872</v>
      </c>
      <c r="K739" t="s">
        <v>872</v>
      </c>
      <c r="L739">
        <v>1</v>
      </c>
      <c r="M739" s="5">
        <v>26089</v>
      </c>
      <c r="N739" s="5">
        <f>+M739*1.3</f>
        <v>33915.700000000004</v>
      </c>
      <c r="O739" s="2">
        <f>+N739-M739</f>
        <v>7826.7000000000044</v>
      </c>
    </row>
    <row r="740" spans="1:15" x14ac:dyDescent="0.2">
      <c r="A740" t="s">
        <v>21</v>
      </c>
      <c r="B740">
        <v>1</v>
      </c>
      <c r="C740" t="s">
        <v>867</v>
      </c>
      <c r="D740" t="s">
        <v>1043</v>
      </c>
      <c r="E740" t="s">
        <v>868</v>
      </c>
      <c r="F740" t="s">
        <v>1019</v>
      </c>
      <c r="G740">
        <v>1</v>
      </c>
      <c r="H740" t="s">
        <v>1044</v>
      </c>
      <c r="I740" t="s">
        <v>1045</v>
      </c>
      <c r="J740" t="s">
        <v>872</v>
      </c>
      <c r="K740" t="s">
        <v>872</v>
      </c>
      <c r="L740">
        <v>1</v>
      </c>
      <c r="M740" s="5">
        <v>26089</v>
      </c>
      <c r="N740" s="5">
        <f>+M740*1.3</f>
        <v>33915.700000000004</v>
      </c>
      <c r="O740" s="2">
        <f>+N740-M740</f>
        <v>7826.7000000000044</v>
      </c>
    </row>
    <row r="741" spans="1:15" x14ac:dyDescent="0.2">
      <c r="A741" t="s">
        <v>88</v>
      </c>
      <c r="B741">
        <v>1</v>
      </c>
      <c r="C741" t="s">
        <v>867</v>
      </c>
      <c r="D741" t="s">
        <v>89</v>
      </c>
      <c r="E741" t="s">
        <v>868</v>
      </c>
      <c r="F741" t="s">
        <v>1019</v>
      </c>
      <c r="G741">
        <v>10</v>
      </c>
      <c r="H741" t="s">
        <v>1046</v>
      </c>
      <c r="I741" t="s">
        <v>1047</v>
      </c>
      <c r="J741" t="s">
        <v>872</v>
      </c>
      <c r="K741" t="s">
        <v>872</v>
      </c>
      <c r="L741">
        <v>1</v>
      </c>
      <c r="M741" s="5">
        <v>27190</v>
      </c>
      <c r="N741" s="5">
        <f>+M741*1.3</f>
        <v>35347</v>
      </c>
      <c r="O741" s="2">
        <f>+N741-M741</f>
        <v>8157</v>
      </c>
    </row>
    <row r="742" spans="1:15" x14ac:dyDescent="0.2">
      <c r="A742" t="s">
        <v>88</v>
      </c>
      <c r="B742">
        <v>1</v>
      </c>
      <c r="C742" t="s">
        <v>867</v>
      </c>
      <c r="D742" t="s">
        <v>89</v>
      </c>
      <c r="E742" t="s">
        <v>868</v>
      </c>
      <c r="F742" t="s">
        <v>1019</v>
      </c>
      <c r="G742">
        <v>9</v>
      </c>
      <c r="H742" t="s">
        <v>1048</v>
      </c>
      <c r="I742" t="s">
        <v>1049</v>
      </c>
      <c r="J742" t="s">
        <v>872</v>
      </c>
      <c r="K742" t="s">
        <v>872</v>
      </c>
      <c r="L742">
        <v>1</v>
      </c>
      <c r="M742" s="5">
        <v>25586</v>
      </c>
      <c r="N742" s="5">
        <f>+M742*1.3</f>
        <v>33261.800000000003</v>
      </c>
      <c r="O742" s="2">
        <f>+N742-M742</f>
        <v>7675.8000000000029</v>
      </c>
    </row>
    <row r="743" spans="1:15" x14ac:dyDescent="0.2">
      <c r="A743" t="s">
        <v>88</v>
      </c>
      <c r="B743">
        <v>1</v>
      </c>
      <c r="C743" t="s">
        <v>867</v>
      </c>
      <c r="D743" t="s">
        <v>89</v>
      </c>
      <c r="E743" t="s">
        <v>868</v>
      </c>
      <c r="F743" t="s">
        <v>1019</v>
      </c>
      <c r="G743">
        <v>6</v>
      </c>
      <c r="H743" t="s">
        <v>1050</v>
      </c>
      <c r="I743" t="s">
        <v>1051</v>
      </c>
      <c r="J743" t="s">
        <v>872</v>
      </c>
      <c r="K743" t="s">
        <v>872</v>
      </c>
      <c r="L743">
        <v>1</v>
      </c>
      <c r="M743" s="5">
        <v>23644</v>
      </c>
      <c r="N743" s="5">
        <f>+M743*1.3</f>
        <v>30737.200000000001</v>
      </c>
      <c r="O743" s="2">
        <f>+N743-M743</f>
        <v>7093.2000000000007</v>
      </c>
    </row>
    <row r="744" spans="1:15" x14ac:dyDescent="0.2">
      <c r="A744" t="s">
        <v>88</v>
      </c>
      <c r="B744">
        <v>1</v>
      </c>
      <c r="C744" t="s">
        <v>867</v>
      </c>
      <c r="D744" t="s">
        <v>89</v>
      </c>
      <c r="E744" t="s">
        <v>868</v>
      </c>
      <c r="F744" t="s">
        <v>1019</v>
      </c>
      <c r="G744">
        <v>4</v>
      </c>
      <c r="H744" t="s">
        <v>1052</v>
      </c>
      <c r="I744" t="s">
        <v>1053</v>
      </c>
      <c r="J744" t="s">
        <v>872</v>
      </c>
      <c r="K744" t="s">
        <v>872</v>
      </c>
      <c r="L744">
        <v>1</v>
      </c>
      <c r="M744" s="5">
        <v>23060</v>
      </c>
      <c r="N744" s="5">
        <f>+M744*1.3</f>
        <v>29978</v>
      </c>
      <c r="O744" s="2">
        <f>+N744-M744</f>
        <v>6918</v>
      </c>
    </row>
    <row r="745" spans="1:15" x14ac:dyDescent="0.2">
      <c r="A745" t="s">
        <v>88</v>
      </c>
      <c r="B745">
        <v>1</v>
      </c>
      <c r="C745" t="s">
        <v>867</v>
      </c>
      <c r="D745" t="s">
        <v>89</v>
      </c>
      <c r="E745" t="s">
        <v>868</v>
      </c>
      <c r="F745" t="s">
        <v>1019</v>
      </c>
      <c r="G745">
        <v>67</v>
      </c>
      <c r="H745" t="s">
        <v>1054</v>
      </c>
      <c r="I745" t="s">
        <v>1055</v>
      </c>
      <c r="J745" t="s">
        <v>872</v>
      </c>
      <c r="K745" t="s">
        <v>872</v>
      </c>
      <c r="L745">
        <v>1</v>
      </c>
      <c r="M745" s="5">
        <v>59507</v>
      </c>
      <c r="N745" s="5">
        <f>+M745*1.3</f>
        <v>77359.100000000006</v>
      </c>
      <c r="O745" s="2">
        <f>+N745-M745</f>
        <v>17852.100000000006</v>
      </c>
    </row>
    <row r="746" spans="1:15" x14ac:dyDescent="0.2">
      <c r="A746" t="s">
        <v>88</v>
      </c>
      <c r="B746">
        <v>1</v>
      </c>
      <c r="C746" t="s">
        <v>867</v>
      </c>
      <c r="D746" t="s">
        <v>89</v>
      </c>
      <c r="E746" t="s">
        <v>868</v>
      </c>
      <c r="F746" t="s">
        <v>1019</v>
      </c>
      <c r="G746">
        <v>120</v>
      </c>
      <c r="H746" t="s">
        <v>1056</v>
      </c>
      <c r="I746" t="s">
        <v>1057</v>
      </c>
      <c r="J746" t="s">
        <v>872</v>
      </c>
      <c r="K746" t="s">
        <v>872</v>
      </c>
      <c r="L746">
        <v>1</v>
      </c>
      <c r="M746" s="5">
        <v>95752</v>
      </c>
      <c r="N746" s="5">
        <f>+M746*1.3</f>
        <v>124477.6</v>
      </c>
      <c r="O746" s="2">
        <f>+N746-M746</f>
        <v>28725.600000000006</v>
      </c>
    </row>
    <row r="747" spans="1:15" x14ac:dyDescent="0.2">
      <c r="A747" t="s">
        <v>88</v>
      </c>
      <c r="B747">
        <v>1</v>
      </c>
      <c r="C747" t="s">
        <v>867</v>
      </c>
      <c r="D747" t="s">
        <v>89</v>
      </c>
      <c r="E747" t="s">
        <v>868</v>
      </c>
      <c r="F747" t="s">
        <v>1019</v>
      </c>
      <c r="G747">
        <v>48</v>
      </c>
      <c r="H747" t="s">
        <v>1058</v>
      </c>
      <c r="I747" t="s">
        <v>1059</v>
      </c>
      <c r="J747" t="s">
        <v>872</v>
      </c>
      <c r="K747" t="s">
        <v>872</v>
      </c>
      <c r="L747">
        <v>1</v>
      </c>
      <c r="M747" s="5">
        <v>49950</v>
      </c>
      <c r="N747" s="5">
        <f>+M747*1.3</f>
        <v>64935</v>
      </c>
      <c r="O747" s="2">
        <f>+N747-M747</f>
        <v>14985</v>
      </c>
    </row>
    <row r="748" spans="1:15" x14ac:dyDescent="0.2">
      <c r="A748" t="s">
        <v>88</v>
      </c>
      <c r="B748">
        <v>1</v>
      </c>
      <c r="C748" t="s">
        <v>867</v>
      </c>
      <c r="D748" t="s">
        <v>89</v>
      </c>
      <c r="E748" t="s">
        <v>868</v>
      </c>
      <c r="F748" t="s">
        <v>1019</v>
      </c>
      <c r="G748">
        <v>92</v>
      </c>
      <c r="H748" t="s">
        <v>1060</v>
      </c>
      <c r="I748" t="s">
        <v>1061</v>
      </c>
      <c r="J748" t="s">
        <v>872</v>
      </c>
      <c r="K748" t="s">
        <v>872</v>
      </c>
      <c r="L748">
        <v>1</v>
      </c>
      <c r="M748" s="5">
        <v>71004</v>
      </c>
      <c r="N748" s="5">
        <f>+M748*1.3</f>
        <v>92305.2</v>
      </c>
      <c r="O748" s="2">
        <f>+N748-M748</f>
        <v>21301.199999999997</v>
      </c>
    </row>
    <row r="749" spans="1:15" x14ac:dyDescent="0.2">
      <c r="A749" t="s">
        <v>28</v>
      </c>
      <c r="B749">
        <v>1</v>
      </c>
      <c r="C749" t="s">
        <v>867</v>
      </c>
      <c r="D749" t="s">
        <v>891</v>
      </c>
      <c r="E749" t="s">
        <v>868</v>
      </c>
      <c r="F749" t="s">
        <v>1019</v>
      </c>
      <c r="G749">
        <v>1</v>
      </c>
      <c r="H749" t="s">
        <v>1062</v>
      </c>
      <c r="I749" t="s">
        <v>1063</v>
      </c>
      <c r="J749" t="s">
        <v>872</v>
      </c>
      <c r="K749" t="s">
        <v>872</v>
      </c>
      <c r="L749">
        <v>1</v>
      </c>
      <c r="M749" s="5">
        <v>69607</v>
      </c>
      <c r="N749" s="5">
        <f>+M749*1.3</f>
        <v>90489.1</v>
      </c>
      <c r="O749" s="2">
        <f>+N749-M749</f>
        <v>20882.100000000006</v>
      </c>
    </row>
    <row r="750" spans="1:15" x14ac:dyDescent="0.2">
      <c r="A750" t="s">
        <v>88</v>
      </c>
      <c r="B750">
        <v>1</v>
      </c>
      <c r="C750" t="s">
        <v>867</v>
      </c>
      <c r="D750" t="s">
        <v>89</v>
      </c>
      <c r="E750" t="s">
        <v>868</v>
      </c>
      <c r="F750" t="s">
        <v>1019</v>
      </c>
      <c r="G750">
        <v>157</v>
      </c>
      <c r="H750" t="s">
        <v>1064</v>
      </c>
      <c r="I750" t="s">
        <v>1065</v>
      </c>
      <c r="J750" t="s">
        <v>872</v>
      </c>
      <c r="K750" t="s">
        <v>872</v>
      </c>
      <c r="L750">
        <v>1</v>
      </c>
      <c r="M750" s="5">
        <v>217717</v>
      </c>
      <c r="N750" s="5">
        <f>+M750*1.3</f>
        <v>283032.10000000003</v>
      </c>
      <c r="O750" s="2">
        <f>+N750-M750</f>
        <v>65315.100000000035</v>
      </c>
    </row>
    <row r="751" spans="1:15" x14ac:dyDescent="0.2">
      <c r="A751" t="s">
        <v>88</v>
      </c>
      <c r="B751">
        <v>1</v>
      </c>
      <c r="C751" t="s">
        <v>867</v>
      </c>
      <c r="D751" t="s">
        <v>89</v>
      </c>
      <c r="E751" t="s">
        <v>868</v>
      </c>
      <c r="F751" t="s">
        <v>1019</v>
      </c>
      <c r="G751">
        <v>96</v>
      </c>
      <c r="H751" t="s">
        <v>1066</v>
      </c>
      <c r="I751" t="s">
        <v>1032</v>
      </c>
      <c r="J751" t="s">
        <v>872</v>
      </c>
      <c r="K751" t="s">
        <v>872</v>
      </c>
      <c r="L751">
        <v>1</v>
      </c>
      <c r="M751" s="5">
        <v>74194</v>
      </c>
      <c r="N751" s="5">
        <f>+M751*1.3</f>
        <v>96452.2</v>
      </c>
      <c r="O751" s="2">
        <f>+N751-M751</f>
        <v>22258.199999999997</v>
      </c>
    </row>
    <row r="752" spans="1:15" x14ac:dyDescent="0.2">
      <c r="A752" t="s">
        <v>88</v>
      </c>
      <c r="B752">
        <v>1</v>
      </c>
      <c r="C752" t="s">
        <v>867</v>
      </c>
      <c r="D752" t="s">
        <v>89</v>
      </c>
      <c r="E752" t="s">
        <v>868</v>
      </c>
      <c r="F752" t="s">
        <v>1019</v>
      </c>
      <c r="G752">
        <v>70</v>
      </c>
      <c r="H752" t="s">
        <v>1067</v>
      </c>
      <c r="I752" t="s">
        <v>1068</v>
      </c>
      <c r="J752" t="s">
        <v>872</v>
      </c>
      <c r="K752" t="s">
        <v>872</v>
      </c>
      <c r="L752">
        <v>1</v>
      </c>
      <c r="M752" s="5">
        <v>59732</v>
      </c>
      <c r="N752" s="5">
        <f>+M752*1.3</f>
        <v>77651.600000000006</v>
      </c>
      <c r="O752" s="2">
        <f>+N752-M752</f>
        <v>17919.600000000006</v>
      </c>
    </row>
    <row r="753" spans="1:15" x14ac:dyDescent="0.2">
      <c r="A753" t="s">
        <v>88</v>
      </c>
      <c r="B753">
        <v>1</v>
      </c>
      <c r="C753" t="s">
        <v>867</v>
      </c>
      <c r="D753" t="s">
        <v>89</v>
      </c>
      <c r="E753" t="s">
        <v>868</v>
      </c>
      <c r="F753" t="s">
        <v>1019</v>
      </c>
      <c r="G753">
        <v>54</v>
      </c>
      <c r="H753" t="s">
        <v>1069</v>
      </c>
      <c r="I753" t="s">
        <v>1070</v>
      </c>
      <c r="J753" t="s">
        <v>872</v>
      </c>
      <c r="K753" t="s">
        <v>872</v>
      </c>
      <c r="L753">
        <v>1</v>
      </c>
      <c r="M753" s="5">
        <v>52483</v>
      </c>
      <c r="N753" s="5">
        <f>+M753*1.3</f>
        <v>68227.900000000009</v>
      </c>
      <c r="O753" s="2">
        <f>+N753-M753</f>
        <v>15744.900000000009</v>
      </c>
    </row>
    <row r="754" spans="1:15" x14ac:dyDescent="0.2">
      <c r="A754" t="s">
        <v>88</v>
      </c>
      <c r="B754">
        <v>1</v>
      </c>
      <c r="C754" t="s">
        <v>867</v>
      </c>
      <c r="D754" t="s">
        <v>89</v>
      </c>
      <c r="E754" t="s">
        <v>868</v>
      </c>
      <c r="F754" t="s">
        <v>1019</v>
      </c>
      <c r="G754">
        <v>33</v>
      </c>
      <c r="H754" t="s">
        <v>1071</v>
      </c>
      <c r="I754" t="s">
        <v>1072</v>
      </c>
      <c r="J754" t="s">
        <v>872</v>
      </c>
      <c r="K754" t="s">
        <v>872</v>
      </c>
      <c r="L754">
        <v>1</v>
      </c>
      <c r="M754" s="5">
        <v>42826</v>
      </c>
      <c r="N754" s="5">
        <f>+M754*1.3</f>
        <v>55673.8</v>
      </c>
      <c r="O754" s="2">
        <f>+N754-M754</f>
        <v>12847.800000000003</v>
      </c>
    </row>
    <row r="755" spans="1:15" x14ac:dyDescent="0.2">
      <c r="A755" t="s">
        <v>88</v>
      </c>
      <c r="B755">
        <v>1</v>
      </c>
      <c r="C755" t="s">
        <v>867</v>
      </c>
      <c r="D755" t="s">
        <v>89</v>
      </c>
      <c r="E755" t="s">
        <v>868</v>
      </c>
      <c r="F755" t="s">
        <v>1019</v>
      </c>
      <c r="G755">
        <v>109</v>
      </c>
      <c r="H755" t="s">
        <v>1073</v>
      </c>
      <c r="I755" t="s">
        <v>1074</v>
      </c>
      <c r="J755" t="s">
        <v>872</v>
      </c>
      <c r="K755" t="s">
        <v>872</v>
      </c>
      <c r="L755">
        <v>1</v>
      </c>
      <c r="M755" s="5">
        <v>82453</v>
      </c>
      <c r="N755" s="5">
        <f>+M755*1.3</f>
        <v>107188.90000000001</v>
      </c>
      <c r="O755" s="2">
        <f>+N755-M755</f>
        <v>24735.900000000009</v>
      </c>
    </row>
    <row r="756" spans="1:15" x14ac:dyDescent="0.2">
      <c r="A756" t="s">
        <v>88</v>
      </c>
      <c r="B756">
        <v>1</v>
      </c>
      <c r="C756" t="s">
        <v>867</v>
      </c>
      <c r="D756" t="s">
        <v>89</v>
      </c>
      <c r="E756" t="s">
        <v>868</v>
      </c>
      <c r="F756" t="s">
        <v>1019</v>
      </c>
      <c r="G756">
        <v>145</v>
      </c>
      <c r="H756" t="s">
        <v>1075</v>
      </c>
      <c r="I756" t="s">
        <v>1076</v>
      </c>
      <c r="J756" t="s">
        <v>872</v>
      </c>
      <c r="K756" t="s">
        <v>872</v>
      </c>
      <c r="L756">
        <v>1</v>
      </c>
      <c r="M756" s="5">
        <v>148075</v>
      </c>
      <c r="N756" s="5">
        <f>+M756*1.3</f>
        <v>192497.5</v>
      </c>
      <c r="O756" s="2">
        <f>+N756-M756</f>
        <v>44422.5</v>
      </c>
    </row>
    <row r="757" spans="1:15" x14ac:dyDescent="0.2">
      <c r="A757" t="s">
        <v>88</v>
      </c>
      <c r="B757">
        <v>1</v>
      </c>
      <c r="C757" t="s">
        <v>867</v>
      </c>
      <c r="D757" t="s">
        <v>89</v>
      </c>
      <c r="E757" t="s">
        <v>868</v>
      </c>
      <c r="F757" t="s">
        <v>1019</v>
      </c>
      <c r="G757">
        <v>152</v>
      </c>
      <c r="H757" t="s">
        <v>1077</v>
      </c>
      <c r="I757" t="s">
        <v>1078</v>
      </c>
      <c r="J757" t="s">
        <v>872</v>
      </c>
      <c r="K757" t="s">
        <v>872</v>
      </c>
      <c r="L757">
        <v>1</v>
      </c>
      <c r="M757" s="5">
        <v>172646</v>
      </c>
      <c r="N757" s="5">
        <f>+M757*1.3</f>
        <v>224439.80000000002</v>
      </c>
      <c r="O757" s="2">
        <f>+N757-M757</f>
        <v>51793.800000000017</v>
      </c>
    </row>
    <row r="758" spans="1:15" x14ac:dyDescent="0.2">
      <c r="A758" t="s">
        <v>28</v>
      </c>
      <c r="B758">
        <v>1</v>
      </c>
      <c r="C758" t="s">
        <v>867</v>
      </c>
      <c r="D758" t="s">
        <v>898</v>
      </c>
      <c r="E758" t="s">
        <v>868</v>
      </c>
      <c r="F758" t="s">
        <v>1019</v>
      </c>
      <c r="G758">
        <v>4</v>
      </c>
      <c r="H758" t="s">
        <v>1079</v>
      </c>
      <c r="I758" t="s">
        <v>1080</v>
      </c>
      <c r="J758" t="s">
        <v>872</v>
      </c>
      <c r="K758" t="s">
        <v>872</v>
      </c>
      <c r="L758">
        <v>1</v>
      </c>
      <c r="M758" s="5">
        <v>183597</v>
      </c>
      <c r="N758" s="5">
        <f>+M758*1.3</f>
        <v>238676.1</v>
      </c>
      <c r="O758" s="2">
        <f>+N758-M758</f>
        <v>55079.100000000006</v>
      </c>
    </row>
    <row r="759" spans="1:15" x14ac:dyDescent="0.2">
      <c r="A759" t="s">
        <v>28</v>
      </c>
      <c r="B759">
        <v>1</v>
      </c>
      <c r="C759" t="s">
        <v>867</v>
      </c>
      <c r="D759" t="s">
        <v>898</v>
      </c>
      <c r="E759" t="s">
        <v>868</v>
      </c>
      <c r="F759" t="s">
        <v>1019</v>
      </c>
      <c r="G759">
        <v>2</v>
      </c>
      <c r="H759" t="s">
        <v>1081</v>
      </c>
      <c r="I759" t="s">
        <v>1082</v>
      </c>
      <c r="J759" t="s">
        <v>872</v>
      </c>
      <c r="K759" t="s">
        <v>872</v>
      </c>
      <c r="L759">
        <v>1</v>
      </c>
      <c r="M759" s="5">
        <v>160739</v>
      </c>
      <c r="N759" s="5">
        <f>+M759*1.3</f>
        <v>208960.7</v>
      </c>
      <c r="O759" s="2">
        <f>+N759-M759</f>
        <v>48221.700000000012</v>
      </c>
    </row>
    <row r="760" spans="1:15" x14ac:dyDescent="0.2">
      <c r="A760" t="s">
        <v>88</v>
      </c>
      <c r="B760">
        <v>1</v>
      </c>
      <c r="C760" t="s">
        <v>867</v>
      </c>
      <c r="D760" t="s">
        <v>89</v>
      </c>
      <c r="E760" t="s">
        <v>868</v>
      </c>
      <c r="F760" t="s">
        <v>1019</v>
      </c>
      <c r="G760">
        <v>57</v>
      </c>
      <c r="H760" t="s">
        <v>1083</v>
      </c>
      <c r="I760" t="s">
        <v>1084</v>
      </c>
      <c r="J760" t="s">
        <v>872</v>
      </c>
      <c r="K760" t="s">
        <v>872</v>
      </c>
      <c r="L760">
        <v>1</v>
      </c>
      <c r="M760" s="5">
        <v>54279</v>
      </c>
      <c r="N760" s="5">
        <f>+M760*1.3</f>
        <v>70562.7</v>
      </c>
      <c r="O760" s="2">
        <f>+N760-M760</f>
        <v>16283.699999999997</v>
      </c>
    </row>
    <row r="761" spans="1:15" x14ac:dyDescent="0.2">
      <c r="A761" t="s">
        <v>88</v>
      </c>
      <c r="B761">
        <v>1</v>
      </c>
      <c r="C761" t="s">
        <v>867</v>
      </c>
      <c r="D761" t="s">
        <v>89</v>
      </c>
      <c r="E761" t="s">
        <v>868</v>
      </c>
      <c r="F761" t="s">
        <v>1019</v>
      </c>
      <c r="G761">
        <v>113</v>
      </c>
      <c r="H761" t="s">
        <v>1085</v>
      </c>
      <c r="I761" t="s">
        <v>1086</v>
      </c>
      <c r="J761" t="s">
        <v>872</v>
      </c>
      <c r="K761" t="s">
        <v>872</v>
      </c>
      <c r="L761">
        <v>1</v>
      </c>
      <c r="M761" s="5">
        <v>83357</v>
      </c>
      <c r="N761" s="5">
        <f>+M761*1.3</f>
        <v>108364.1</v>
      </c>
      <c r="O761" s="2">
        <f>+N761-M761</f>
        <v>25007.100000000006</v>
      </c>
    </row>
    <row r="762" spans="1:15" x14ac:dyDescent="0.2">
      <c r="A762" t="s">
        <v>88</v>
      </c>
      <c r="B762">
        <v>1</v>
      </c>
      <c r="C762" t="s">
        <v>867</v>
      </c>
      <c r="D762" t="s">
        <v>89</v>
      </c>
      <c r="E762" t="s">
        <v>868</v>
      </c>
      <c r="F762" t="s">
        <v>1019</v>
      </c>
      <c r="G762">
        <v>12</v>
      </c>
      <c r="H762" t="s">
        <v>1087</v>
      </c>
      <c r="I762" t="s">
        <v>1088</v>
      </c>
      <c r="J762" t="s">
        <v>872</v>
      </c>
      <c r="K762" t="s">
        <v>872</v>
      </c>
      <c r="L762">
        <v>1</v>
      </c>
      <c r="M762" s="5">
        <v>29125</v>
      </c>
      <c r="N762" s="5">
        <f>+M762*1.3</f>
        <v>37862.5</v>
      </c>
      <c r="O762" s="2">
        <f>+N762-M762</f>
        <v>8737.5</v>
      </c>
    </row>
    <row r="763" spans="1:15" x14ac:dyDescent="0.2">
      <c r="A763" t="s">
        <v>13</v>
      </c>
      <c r="B763">
        <v>2</v>
      </c>
      <c r="C763" t="s">
        <v>867</v>
      </c>
      <c r="D763" t="s">
        <v>1089</v>
      </c>
      <c r="E763" t="s">
        <v>868</v>
      </c>
      <c r="F763" t="s">
        <v>1019</v>
      </c>
      <c r="G763">
        <v>1</v>
      </c>
      <c r="H763" t="s">
        <v>1090</v>
      </c>
      <c r="I763" t="s">
        <v>1091</v>
      </c>
      <c r="J763" t="s">
        <v>872</v>
      </c>
      <c r="K763" t="s">
        <v>872</v>
      </c>
      <c r="L763">
        <v>1</v>
      </c>
      <c r="M763" s="5">
        <v>76269</v>
      </c>
      <c r="N763" s="5">
        <f>+M763*1.3</f>
        <v>99149.7</v>
      </c>
      <c r="O763" s="2">
        <f>+N763-M763</f>
        <v>22880.699999999997</v>
      </c>
    </row>
    <row r="764" spans="1:15" x14ac:dyDescent="0.2">
      <c r="A764" t="s">
        <v>35</v>
      </c>
      <c r="B764">
        <v>1</v>
      </c>
      <c r="C764" t="s">
        <v>867</v>
      </c>
      <c r="D764" t="s">
        <v>1089</v>
      </c>
      <c r="E764" t="s">
        <v>868</v>
      </c>
      <c r="F764" t="s">
        <v>1019</v>
      </c>
      <c r="G764">
        <v>1</v>
      </c>
      <c r="H764" t="s">
        <v>1090</v>
      </c>
      <c r="I764" t="s">
        <v>1091</v>
      </c>
      <c r="J764" t="s">
        <v>872</v>
      </c>
      <c r="K764" t="s">
        <v>872</v>
      </c>
      <c r="L764">
        <v>1</v>
      </c>
      <c r="M764" s="5">
        <v>76269</v>
      </c>
      <c r="N764" s="5">
        <f>+M764*1.3</f>
        <v>99149.7</v>
      </c>
      <c r="O764" s="2">
        <f>+N764-M764</f>
        <v>22880.699999999997</v>
      </c>
    </row>
    <row r="765" spans="1:15" x14ac:dyDescent="0.2">
      <c r="A765" t="s">
        <v>88</v>
      </c>
      <c r="B765">
        <v>1</v>
      </c>
      <c r="C765" t="s">
        <v>867</v>
      </c>
      <c r="D765" t="s">
        <v>89</v>
      </c>
      <c r="E765" t="s">
        <v>868</v>
      </c>
      <c r="F765" t="s">
        <v>1019</v>
      </c>
      <c r="G765">
        <v>88</v>
      </c>
      <c r="H765" t="s">
        <v>1092</v>
      </c>
      <c r="I765" t="s">
        <v>1093</v>
      </c>
      <c r="J765" t="s">
        <v>872</v>
      </c>
      <c r="K765" t="s">
        <v>872</v>
      </c>
      <c r="L765">
        <v>1</v>
      </c>
      <c r="M765" s="5">
        <v>69700</v>
      </c>
      <c r="N765" s="5">
        <f>+M765*1.3</f>
        <v>90610</v>
      </c>
      <c r="O765" s="2">
        <f>+N765-M765</f>
        <v>20910</v>
      </c>
    </row>
    <row r="766" spans="1:15" x14ac:dyDescent="0.2">
      <c r="A766" t="s">
        <v>13</v>
      </c>
      <c r="B766">
        <v>2</v>
      </c>
      <c r="C766" t="s">
        <v>867</v>
      </c>
      <c r="D766" t="s">
        <v>1035</v>
      </c>
      <c r="E766" t="s">
        <v>868</v>
      </c>
      <c r="F766" t="s">
        <v>1019</v>
      </c>
      <c r="G766">
        <v>2</v>
      </c>
      <c r="H766" t="s">
        <v>1094</v>
      </c>
      <c r="I766" t="s">
        <v>1095</v>
      </c>
      <c r="J766" t="s">
        <v>872</v>
      </c>
      <c r="K766" t="s">
        <v>872</v>
      </c>
      <c r="L766">
        <v>1</v>
      </c>
      <c r="M766" s="5">
        <v>83091</v>
      </c>
      <c r="N766" s="5">
        <f>+M766*1.3</f>
        <v>108018.3</v>
      </c>
      <c r="O766" s="2">
        <f>+N766-M766</f>
        <v>24927.300000000003</v>
      </c>
    </row>
    <row r="767" spans="1:15" x14ac:dyDescent="0.2">
      <c r="A767" t="s">
        <v>35</v>
      </c>
      <c r="B767">
        <v>1</v>
      </c>
      <c r="C767" t="s">
        <v>867</v>
      </c>
      <c r="D767" t="s">
        <v>1035</v>
      </c>
      <c r="E767" t="s">
        <v>868</v>
      </c>
      <c r="F767" t="s">
        <v>1019</v>
      </c>
      <c r="G767">
        <v>2</v>
      </c>
      <c r="H767" t="s">
        <v>1094</v>
      </c>
      <c r="I767" t="s">
        <v>1095</v>
      </c>
      <c r="J767" t="s">
        <v>872</v>
      </c>
      <c r="K767" t="s">
        <v>872</v>
      </c>
      <c r="L767">
        <v>1</v>
      </c>
      <c r="M767" s="5">
        <v>83091</v>
      </c>
      <c r="N767" s="5">
        <f>+M767*1.3</f>
        <v>108018.3</v>
      </c>
      <c r="O767" s="2">
        <f>+N767-M767</f>
        <v>24927.300000000003</v>
      </c>
    </row>
    <row r="768" spans="1:15" x14ac:dyDescent="0.2">
      <c r="A768" t="s">
        <v>88</v>
      </c>
      <c r="B768">
        <v>1</v>
      </c>
      <c r="C768" t="s">
        <v>867</v>
      </c>
      <c r="D768" t="s">
        <v>89</v>
      </c>
      <c r="E768" t="s">
        <v>868</v>
      </c>
      <c r="F768" t="s">
        <v>1019</v>
      </c>
      <c r="G768">
        <v>62</v>
      </c>
      <c r="H768" t="s">
        <v>1096</v>
      </c>
      <c r="I768" t="s">
        <v>1097</v>
      </c>
      <c r="J768" t="s">
        <v>872</v>
      </c>
      <c r="K768" t="s">
        <v>872</v>
      </c>
      <c r="L768">
        <v>1</v>
      </c>
      <c r="M768" s="5">
        <v>57004</v>
      </c>
      <c r="N768" s="5">
        <f>+M768*1.3</f>
        <v>74105.2</v>
      </c>
      <c r="O768" s="2">
        <f>+N768-M768</f>
        <v>17101.199999999997</v>
      </c>
    </row>
    <row r="769" spans="1:15" x14ac:dyDescent="0.2">
      <c r="A769" t="s">
        <v>88</v>
      </c>
      <c r="B769">
        <v>1</v>
      </c>
      <c r="C769" t="s">
        <v>867</v>
      </c>
      <c r="D769" t="s">
        <v>89</v>
      </c>
      <c r="E769" t="s">
        <v>868</v>
      </c>
      <c r="F769" t="s">
        <v>1019</v>
      </c>
      <c r="G769">
        <v>19</v>
      </c>
      <c r="H769" t="s">
        <v>1098</v>
      </c>
      <c r="I769" t="s">
        <v>1099</v>
      </c>
      <c r="J769" t="s">
        <v>872</v>
      </c>
      <c r="K769" t="s">
        <v>872</v>
      </c>
      <c r="L769">
        <v>1</v>
      </c>
      <c r="M769" s="5">
        <v>32553</v>
      </c>
      <c r="N769" s="5">
        <f>+M769*1.3</f>
        <v>42318.9</v>
      </c>
      <c r="O769" s="2">
        <f>+N769-M769</f>
        <v>9765.9000000000015</v>
      </c>
    </row>
    <row r="770" spans="1:15" x14ac:dyDescent="0.2">
      <c r="A770" t="s">
        <v>88</v>
      </c>
      <c r="B770">
        <v>1</v>
      </c>
      <c r="C770" t="s">
        <v>867</v>
      </c>
      <c r="D770" t="s">
        <v>89</v>
      </c>
      <c r="E770" t="s">
        <v>868</v>
      </c>
      <c r="F770" t="s">
        <v>1019</v>
      </c>
      <c r="G770">
        <v>156</v>
      </c>
      <c r="H770" t="s">
        <v>1100</v>
      </c>
      <c r="I770" t="s">
        <v>1101</v>
      </c>
      <c r="J770" t="s">
        <v>872</v>
      </c>
      <c r="K770" t="s">
        <v>872</v>
      </c>
      <c r="L770">
        <v>1</v>
      </c>
      <c r="M770" s="5">
        <v>209994</v>
      </c>
      <c r="N770" s="5">
        <f>+M770*1.3</f>
        <v>272992.2</v>
      </c>
      <c r="O770" s="2">
        <f>+N770-M770</f>
        <v>62998.200000000012</v>
      </c>
    </row>
    <row r="771" spans="1:15" x14ac:dyDescent="0.2">
      <c r="A771" t="s">
        <v>88</v>
      </c>
      <c r="B771">
        <v>1</v>
      </c>
      <c r="C771" t="s">
        <v>867</v>
      </c>
      <c r="D771" t="s">
        <v>89</v>
      </c>
      <c r="E771" t="s">
        <v>868</v>
      </c>
      <c r="F771" t="s">
        <v>1019</v>
      </c>
      <c r="G771">
        <v>147</v>
      </c>
      <c r="H771" t="s">
        <v>1102</v>
      </c>
      <c r="I771" t="s">
        <v>1103</v>
      </c>
      <c r="J771" t="s">
        <v>872</v>
      </c>
      <c r="K771" t="s">
        <v>872</v>
      </c>
      <c r="L771">
        <v>1</v>
      </c>
      <c r="M771" s="5">
        <v>159203</v>
      </c>
      <c r="N771" s="5">
        <f>+M771*1.3</f>
        <v>206963.9</v>
      </c>
      <c r="O771" s="2">
        <f>+N771-M771</f>
        <v>47760.899999999994</v>
      </c>
    </row>
    <row r="772" spans="1:15" x14ac:dyDescent="0.2">
      <c r="A772" t="s">
        <v>88</v>
      </c>
      <c r="B772">
        <v>1</v>
      </c>
      <c r="C772" t="s">
        <v>867</v>
      </c>
      <c r="D772" t="s">
        <v>89</v>
      </c>
      <c r="E772" t="s">
        <v>868</v>
      </c>
      <c r="F772" t="s">
        <v>1019</v>
      </c>
      <c r="G772">
        <v>124</v>
      </c>
      <c r="H772" t="s">
        <v>1104</v>
      </c>
      <c r="I772" t="s">
        <v>1105</v>
      </c>
      <c r="J772" t="s">
        <v>872</v>
      </c>
      <c r="K772" t="s">
        <v>872</v>
      </c>
      <c r="L772">
        <v>1</v>
      </c>
      <c r="M772" s="5">
        <v>101071</v>
      </c>
      <c r="N772" s="5">
        <f>+M772*1.3</f>
        <v>131392.30000000002</v>
      </c>
      <c r="O772" s="2">
        <f>+N772-M772</f>
        <v>30321.300000000017</v>
      </c>
    </row>
    <row r="773" spans="1:15" x14ac:dyDescent="0.2">
      <c r="A773" t="s">
        <v>88</v>
      </c>
      <c r="B773">
        <v>1</v>
      </c>
      <c r="C773" t="s">
        <v>867</v>
      </c>
      <c r="D773" t="s">
        <v>89</v>
      </c>
      <c r="E773" t="s">
        <v>868</v>
      </c>
      <c r="F773" t="s">
        <v>1019</v>
      </c>
      <c r="G773">
        <v>14</v>
      </c>
      <c r="H773" t="s">
        <v>1106</v>
      </c>
      <c r="I773" t="s">
        <v>1107</v>
      </c>
      <c r="J773" t="s">
        <v>872</v>
      </c>
      <c r="K773" t="s">
        <v>872</v>
      </c>
      <c r="L773">
        <v>1</v>
      </c>
      <c r="M773" s="5">
        <v>29682</v>
      </c>
      <c r="N773" s="5">
        <f>+M773*1.3</f>
        <v>38586.6</v>
      </c>
      <c r="O773" s="2">
        <f>+N773-M773</f>
        <v>8904.5999999999985</v>
      </c>
    </row>
    <row r="774" spans="1:15" x14ac:dyDescent="0.2">
      <c r="A774" t="s">
        <v>88</v>
      </c>
      <c r="B774">
        <v>1</v>
      </c>
      <c r="C774" t="s">
        <v>867</v>
      </c>
      <c r="D774" t="s">
        <v>89</v>
      </c>
      <c r="E774" t="s">
        <v>868</v>
      </c>
      <c r="F774" t="s">
        <v>1019</v>
      </c>
      <c r="G774">
        <v>85</v>
      </c>
      <c r="H774" t="s">
        <v>1108</v>
      </c>
      <c r="I774" t="s">
        <v>1109</v>
      </c>
      <c r="J774" t="s">
        <v>872</v>
      </c>
      <c r="K774" t="s">
        <v>872</v>
      </c>
      <c r="L774">
        <v>1</v>
      </c>
      <c r="M774" s="5">
        <v>67740</v>
      </c>
      <c r="N774" s="5">
        <f>+M774*1.3</f>
        <v>88062</v>
      </c>
      <c r="O774" s="2">
        <f>+N774-M774</f>
        <v>20322</v>
      </c>
    </row>
    <row r="775" spans="1:15" x14ac:dyDescent="0.2">
      <c r="A775" t="s">
        <v>13</v>
      </c>
      <c r="B775">
        <v>2</v>
      </c>
      <c r="C775" t="s">
        <v>867</v>
      </c>
      <c r="D775" t="s">
        <v>1000</v>
      </c>
      <c r="E775" t="s">
        <v>868</v>
      </c>
      <c r="F775" t="s">
        <v>1019</v>
      </c>
      <c r="G775">
        <v>1</v>
      </c>
      <c r="H775" t="s">
        <v>1110</v>
      </c>
      <c r="I775" t="s">
        <v>1111</v>
      </c>
      <c r="J775" t="s">
        <v>872</v>
      </c>
      <c r="K775" t="s">
        <v>872</v>
      </c>
      <c r="L775">
        <v>1</v>
      </c>
      <c r="M775" s="5">
        <v>71129</v>
      </c>
      <c r="N775" s="5">
        <f>+M775*1.3</f>
        <v>92467.7</v>
      </c>
      <c r="O775" s="2">
        <f>+N775-M775</f>
        <v>21338.699999999997</v>
      </c>
    </row>
    <row r="776" spans="1:15" x14ac:dyDescent="0.2">
      <c r="A776" t="s">
        <v>35</v>
      </c>
      <c r="B776">
        <v>1</v>
      </c>
      <c r="C776" t="s">
        <v>867</v>
      </c>
      <c r="D776" t="s">
        <v>1000</v>
      </c>
      <c r="E776" t="s">
        <v>868</v>
      </c>
      <c r="F776" t="s">
        <v>1019</v>
      </c>
      <c r="G776">
        <v>1</v>
      </c>
      <c r="H776" t="s">
        <v>1110</v>
      </c>
      <c r="I776" t="s">
        <v>1111</v>
      </c>
      <c r="J776" t="s">
        <v>872</v>
      </c>
      <c r="K776" t="s">
        <v>872</v>
      </c>
      <c r="L776">
        <v>1</v>
      </c>
      <c r="M776" s="5">
        <v>71129</v>
      </c>
      <c r="N776" s="5">
        <f>+M776*1.3</f>
        <v>92467.7</v>
      </c>
      <c r="O776" s="2">
        <f>+N776-M776</f>
        <v>21338.699999999997</v>
      </c>
    </row>
    <row r="777" spans="1:15" x14ac:dyDescent="0.2">
      <c r="A777" t="s">
        <v>88</v>
      </c>
      <c r="B777">
        <v>1</v>
      </c>
      <c r="C777" t="s">
        <v>867</v>
      </c>
      <c r="D777" t="s">
        <v>89</v>
      </c>
      <c r="E777" t="s">
        <v>868</v>
      </c>
      <c r="F777" t="s">
        <v>1019</v>
      </c>
      <c r="G777">
        <v>22</v>
      </c>
      <c r="H777" t="s">
        <v>1112</v>
      </c>
      <c r="I777" t="s">
        <v>1113</v>
      </c>
      <c r="J777" t="s">
        <v>872</v>
      </c>
      <c r="K777" t="s">
        <v>872</v>
      </c>
      <c r="L777">
        <v>1</v>
      </c>
      <c r="M777" s="5">
        <v>34900</v>
      </c>
      <c r="N777" s="5">
        <f>+M777*1.3</f>
        <v>45370</v>
      </c>
      <c r="O777" s="2">
        <f>+N777-M777</f>
        <v>10470</v>
      </c>
    </row>
    <row r="778" spans="1:15" x14ac:dyDescent="0.2">
      <c r="A778" t="s">
        <v>88</v>
      </c>
      <c r="B778">
        <v>1</v>
      </c>
      <c r="C778" t="s">
        <v>867</v>
      </c>
      <c r="D778" t="s">
        <v>89</v>
      </c>
      <c r="E778" t="s">
        <v>868</v>
      </c>
      <c r="F778" t="s">
        <v>1019</v>
      </c>
      <c r="G778">
        <v>63</v>
      </c>
      <c r="H778" t="s">
        <v>1114</v>
      </c>
      <c r="I778" t="s">
        <v>1115</v>
      </c>
      <c r="J778" t="s">
        <v>872</v>
      </c>
      <c r="K778" t="s">
        <v>872</v>
      </c>
      <c r="L778">
        <v>1</v>
      </c>
      <c r="M778" s="5">
        <v>57610</v>
      </c>
      <c r="N778" s="5">
        <f>+M778*1.3</f>
        <v>74893</v>
      </c>
      <c r="O778" s="2">
        <f>+N778-M778</f>
        <v>17283</v>
      </c>
    </row>
    <row r="779" spans="1:15" x14ac:dyDescent="0.2">
      <c r="A779" t="s">
        <v>28</v>
      </c>
      <c r="B779">
        <v>1</v>
      </c>
      <c r="C779" t="s">
        <v>867</v>
      </c>
      <c r="D779" t="s">
        <v>898</v>
      </c>
      <c r="E779" t="s">
        <v>868</v>
      </c>
      <c r="F779" t="s">
        <v>1019</v>
      </c>
      <c r="G779">
        <v>1</v>
      </c>
      <c r="H779" t="s">
        <v>1116</v>
      </c>
      <c r="I779" t="s">
        <v>1117</v>
      </c>
      <c r="J779" t="s">
        <v>872</v>
      </c>
      <c r="K779" t="s">
        <v>872</v>
      </c>
      <c r="L779">
        <v>1</v>
      </c>
      <c r="M779" s="5">
        <v>147103</v>
      </c>
      <c r="N779" s="5">
        <f>+M779*1.3</f>
        <v>191233.9</v>
      </c>
      <c r="O779" s="2">
        <f>+N779-M779</f>
        <v>44130.899999999994</v>
      </c>
    </row>
    <row r="780" spans="1:15" x14ac:dyDescent="0.2">
      <c r="A780" t="s">
        <v>88</v>
      </c>
      <c r="B780">
        <v>1</v>
      </c>
      <c r="C780" t="s">
        <v>867</v>
      </c>
      <c r="D780" t="s">
        <v>89</v>
      </c>
      <c r="E780" t="s">
        <v>868</v>
      </c>
      <c r="F780" t="s">
        <v>1019</v>
      </c>
      <c r="G780">
        <v>28</v>
      </c>
      <c r="H780" t="s">
        <v>1118</v>
      </c>
      <c r="I780" t="s">
        <v>1119</v>
      </c>
      <c r="J780" t="s">
        <v>872</v>
      </c>
      <c r="K780" t="s">
        <v>872</v>
      </c>
      <c r="L780">
        <v>1</v>
      </c>
      <c r="M780" s="5">
        <v>40538</v>
      </c>
      <c r="N780" s="5">
        <f>+M780*1.3</f>
        <v>52699.4</v>
      </c>
      <c r="O780" s="2">
        <f>+N780-M780</f>
        <v>12161.400000000001</v>
      </c>
    </row>
    <row r="781" spans="1:15" x14ac:dyDescent="0.2">
      <c r="A781" t="s">
        <v>13</v>
      </c>
      <c r="B781">
        <v>2</v>
      </c>
      <c r="C781" t="s">
        <v>867</v>
      </c>
      <c r="D781" t="s">
        <v>1120</v>
      </c>
      <c r="E781" t="s">
        <v>868</v>
      </c>
      <c r="F781" t="s">
        <v>1019</v>
      </c>
      <c r="G781">
        <v>1</v>
      </c>
      <c r="H781" t="s">
        <v>1121</v>
      </c>
      <c r="I781" t="s">
        <v>1122</v>
      </c>
      <c r="J781" t="s">
        <v>872</v>
      </c>
      <c r="K781" t="s">
        <v>872</v>
      </c>
      <c r="L781">
        <v>1</v>
      </c>
      <c r="M781" s="5">
        <v>29248</v>
      </c>
      <c r="N781" s="5">
        <f>+M781*1.3</f>
        <v>38022.400000000001</v>
      </c>
      <c r="O781" s="2">
        <f>+N781-M781</f>
        <v>8774.4000000000015</v>
      </c>
    </row>
    <row r="782" spans="1:15" x14ac:dyDescent="0.2">
      <c r="A782" t="s">
        <v>21</v>
      </c>
      <c r="B782">
        <v>1</v>
      </c>
      <c r="C782" t="s">
        <v>867</v>
      </c>
      <c r="D782" t="s">
        <v>1120</v>
      </c>
      <c r="E782" t="s">
        <v>868</v>
      </c>
      <c r="F782" t="s">
        <v>1019</v>
      </c>
      <c r="G782">
        <v>1</v>
      </c>
      <c r="H782" t="s">
        <v>1121</v>
      </c>
      <c r="I782" t="s">
        <v>1122</v>
      </c>
      <c r="J782" t="s">
        <v>872</v>
      </c>
      <c r="K782" t="s">
        <v>872</v>
      </c>
      <c r="L782">
        <v>1</v>
      </c>
      <c r="M782" s="5">
        <v>29248</v>
      </c>
      <c r="N782" s="5">
        <f>+M782*1.3</f>
        <v>38022.400000000001</v>
      </c>
      <c r="O782" s="2">
        <f>+N782-M782</f>
        <v>8774.4000000000015</v>
      </c>
    </row>
    <row r="783" spans="1:15" x14ac:dyDescent="0.2">
      <c r="A783" t="s">
        <v>88</v>
      </c>
      <c r="B783">
        <v>1</v>
      </c>
      <c r="C783" t="s">
        <v>867</v>
      </c>
      <c r="D783" t="s">
        <v>89</v>
      </c>
      <c r="E783" t="s">
        <v>868</v>
      </c>
      <c r="F783" t="s">
        <v>1019</v>
      </c>
      <c r="G783">
        <v>39</v>
      </c>
      <c r="H783" t="s">
        <v>1123</v>
      </c>
      <c r="I783" t="s">
        <v>1124</v>
      </c>
      <c r="J783" t="s">
        <v>872</v>
      </c>
      <c r="K783" t="s">
        <v>872</v>
      </c>
      <c r="L783">
        <v>1</v>
      </c>
      <c r="M783" s="5">
        <v>45413</v>
      </c>
      <c r="N783" s="5">
        <f>+M783*1.3</f>
        <v>59036.9</v>
      </c>
      <c r="O783" s="2">
        <f>+N783-M783</f>
        <v>13623.900000000001</v>
      </c>
    </row>
    <row r="784" spans="1:15" x14ac:dyDescent="0.2">
      <c r="A784" t="s">
        <v>88</v>
      </c>
      <c r="B784">
        <v>1</v>
      </c>
      <c r="C784" t="s">
        <v>867</v>
      </c>
      <c r="D784" t="s">
        <v>89</v>
      </c>
      <c r="E784" t="s">
        <v>868</v>
      </c>
      <c r="F784" t="s">
        <v>1019</v>
      </c>
      <c r="G784">
        <v>36</v>
      </c>
      <c r="H784" t="s">
        <v>1125</v>
      </c>
      <c r="I784" t="s">
        <v>1126</v>
      </c>
      <c r="J784" t="s">
        <v>872</v>
      </c>
      <c r="K784" t="s">
        <v>872</v>
      </c>
      <c r="L784">
        <v>1</v>
      </c>
      <c r="M784" s="5">
        <v>44286</v>
      </c>
      <c r="N784" s="5">
        <f>+M784*1.3</f>
        <v>57571.8</v>
      </c>
      <c r="O784" s="2">
        <f>+N784-M784</f>
        <v>13285.800000000003</v>
      </c>
    </row>
    <row r="785" spans="1:15" x14ac:dyDescent="0.2">
      <c r="A785" t="s">
        <v>88</v>
      </c>
      <c r="B785">
        <v>1</v>
      </c>
      <c r="C785" t="s">
        <v>867</v>
      </c>
      <c r="D785" t="s">
        <v>89</v>
      </c>
      <c r="E785" t="s">
        <v>868</v>
      </c>
      <c r="F785" t="s">
        <v>1019</v>
      </c>
      <c r="G785">
        <v>7</v>
      </c>
      <c r="H785" t="s">
        <v>1127</v>
      </c>
      <c r="I785" t="s">
        <v>1128</v>
      </c>
      <c r="J785" t="s">
        <v>872</v>
      </c>
      <c r="K785" t="s">
        <v>872</v>
      </c>
      <c r="L785">
        <v>1</v>
      </c>
      <c r="M785" s="5">
        <v>24410</v>
      </c>
      <c r="N785" s="5">
        <f>+M785*1.3</f>
        <v>31733</v>
      </c>
      <c r="O785" s="2">
        <f>+N785-M785</f>
        <v>7323</v>
      </c>
    </row>
    <row r="786" spans="1:15" x14ac:dyDescent="0.2">
      <c r="A786" t="s">
        <v>88</v>
      </c>
      <c r="B786">
        <v>1</v>
      </c>
      <c r="C786" t="s">
        <v>867</v>
      </c>
      <c r="D786" t="s">
        <v>89</v>
      </c>
      <c r="E786" t="s">
        <v>868</v>
      </c>
      <c r="F786" t="s">
        <v>1019</v>
      </c>
      <c r="G786">
        <v>47</v>
      </c>
      <c r="H786" t="s">
        <v>1129</v>
      </c>
      <c r="I786" t="s">
        <v>1130</v>
      </c>
      <c r="J786" t="s">
        <v>872</v>
      </c>
      <c r="K786" t="s">
        <v>872</v>
      </c>
      <c r="L786">
        <v>1</v>
      </c>
      <c r="M786" s="5">
        <v>49643</v>
      </c>
      <c r="N786" s="5">
        <f>+M786*1.3</f>
        <v>64535.9</v>
      </c>
      <c r="O786" s="2">
        <f>+N786-M786</f>
        <v>14892.900000000001</v>
      </c>
    </row>
    <row r="787" spans="1:15" x14ac:dyDescent="0.2">
      <c r="A787" t="s">
        <v>88</v>
      </c>
      <c r="B787">
        <v>1</v>
      </c>
      <c r="C787" t="s">
        <v>867</v>
      </c>
      <c r="D787" t="s">
        <v>89</v>
      </c>
      <c r="E787" t="s">
        <v>868</v>
      </c>
      <c r="F787" t="s">
        <v>1019</v>
      </c>
      <c r="G787">
        <v>84</v>
      </c>
      <c r="H787" t="s">
        <v>1131</v>
      </c>
      <c r="I787" t="s">
        <v>1132</v>
      </c>
      <c r="J787" t="s">
        <v>872</v>
      </c>
      <c r="K787" t="s">
        <v>872</v>
      </c>
      <c r="L787">
        <v>1</v>
      </c>
      <c r="M787" s="5">
        <v>67433</v>
      </c>
      <c r="N787" s="5">
        <f>+M787*1.3</f>
        <v>87662.900000000009</v>
      </c>
      <c r="O787" s="2">
        <f>+N787-M787</f>
        <v>20229.900000000009</v>
      </c>
    </row>
    <row r="788" spans="1:15" x14ac:dyDescent="0.2">
      <c r="A788" t="s">
        <v>88</v>
      </c>
      <c r="B788">
        <v>1</v>
      </c>
      <c r="C788" t="s">
        <v>867</v>
      </c>
      <c r="D788" t="s">
        <v>89</v>
      </c>
      <c r="E788" t="s">
        <v>868</v>
      </c>
      <c r="F788" t="s">
        <v>1019</v>
      </c>
      <c r="G788">
        <v>154</v>
      </c>
      <c r="H788" t="s">
        <v>1133</v>
      </c>
      <c r="I788" t="s">
        <v>1134</v>
      </c>
      <c r="J788" t="s">
        <v>872</v>
      </c>
      <c r="K788" t="s">
        <v>872</v>
      </c>
      <c r="L788">
        <v>1</v>
      </c>
      <c r="M788" s="5">
        <v>194456</v>
      </c>
      <c r="N788" s="5">
        <f>+M788*1.3</f>
        <v>252792.80000000002</v>
      </c>
      <c r="O788" s="2">
        <f>+N788-M788</f>
        <v>58336.800000000017</v>
      </c>
    </row>
    <row r="789" spans="1:15" x14ac:dyDescent="0.2">
      <c r="A789" t="s">
        <v>88</v>
      </c>
      <c r="B789">
        <v>1</v>
      </c>
      <c r="C789" t="s">
        <v>867</v>
      </c>
      <c r="D789" t="s">
        <v>89</v>
      </c>
      <c r="E789" t="s">
        <v>868</v>
      </c>
      <c r="F789" t="s">
        <v>1019</v>
      </c>
      <c r="G789">
        <v>50</v>
      </c>
      <c r="H789" t="s">
        <v>1135</v>
      </c>
      <c r="I789" t="s">
        <v>1136</v>
      </c>
      <c r="J789" t="s">
        <v>872</v>
      </c>
      <c r="K789" t="s">
        <v>872</v>
      </c>
      <c r="L789">
        <v>1</v>
      </c>
      <c r="M789" s="5">
        <v>51450</v>
      </c>
      <c r="N789" s="5">
        <f>+M789*1.3</f>
        <v>66885</v>
      </c>
      <c r="O789" s="2">
        <f>+N789-M789</f>
        <v>15435</v>
      </c>
    </row>
    <row r="790" spans="1:15" x14ac:dyDescent="0.2">
      <c r="A790" t="s">
        <v>88</v>
      </c>
      <c r="B790">
        <v>1</v>
      </c>
      <c r="C790" t="s">
        <v>867</v>
      </c>
      <c r="D790" t="s">
        <v>89</v>
      </c>
      <c r="E790" t="s">
        <v>868</v>
      </c>
      <c r="F790" t="s">
        <v>1019</v>
      </c>
      <c r="G790">
        <v>42</v>
      </c>
      <c r="H790" t="s">
        <v>1137</v>
      </c>
      <c r="I790" t="s">
        <v>1138</v>
      </c>
      <c r="J790" t="s">
        <v>872</v>
      </c>
      <c r="K790" t="s">
        <v>872</v>
      </c>
      <c r="L790">
        <v>1</v>
      </c>
      <c r="M790" s="5">
        <v>47387</v>
      </c>
      <c r="N790" s="5">
        <f>+M790*1.3</f>
        <v>61603.1</v>
      </c>
      <c r="O790" s="2">
        <f>+N790-M790</f>
        <v>14216.099999999999</v>
      </c>
    </row>
    <row r="791" spans="1:15" x14ac:dyDescent="0.2">
      <c r="A791" t="s">
        <v>28</v>
      </c>
      <c r="B791">
        <v>1</v>
      </c>
      <c r="C791" t="s">
        <v>867</v>
      </c>
      <c r="D791" t="s">
        <v>898</v>
      </c>
      <c r="E791" t="s">
        <v>868</v>
      </c>
      <c r="F791" t="s">
        <v>1019</v>
      </c>
      <c r="G791">
        <v>3</v>
      </c>
      <c r="H791" t="s">
        <v>1139</v>
      </c>
      <c r="I791" t="s">
        <v>1140</v>
      </c>
      <c r="J791" t="s">
        <v>872</v>
      </c>
      <c r="K791" t="s">
        <v>872</v>
      </c>
      <c r="L791">
        <v>1</v>
      </c>
      <c r="M791" s="5">
        <v>170185</v>
      </c>
      <c r="N791" s="5">
        <f>+M791*1.3</f>
        <v>221240.5</v>
      </c>
      <c r="O791" s="2">
        <f>+N791-M791</f>
        <v>51055.5</v>
      </c>
    </row>
    <row r="792" spans="1:15" x14ac:dyDescent="0.2">
      <c r="A792" t="s">
        <v>88</v>
      </c>
      <c r="B792">
        <v>1</v>
      </c>
      <c r="C792" t="s">
        <v>867</v>
      </c>
      <c r="D792" t="s">
        <v>89</v>
      </c>
      <c r="E792" t="s">
        <v>868</v>
      </c>
      <c r="F792" t="s">
        <v>1019</v>
      </c>
      <c r="G792">
        <v>153</v>
      </c>
      <c r="H792" t="s">
        <v>1141</v>
      </c>
      <c r="I792" t="s">
        <v>1142</v>
      </c>
      <c r="J792" t="s">
        <v>872</v>
      </c>
      <c r="K792" t="s">
        <v>872</v>
      </c>
      <c r="L792">
        <v>1</v>
      </c>
      <c r="M792" s="5">
        <v>191440</v>
      </c>
      <c r="N792" s="5">
        <f>+M792*1.3</f>
        <v>248872</v>
      </c>
      <c r="O792" s="2">
        <f>+N792-M792</f>
        <v>57432</v>
      </c>
    </row>
    <row r="793" spans="1:15" x14ac:dyDescent="0.2">
      <c r="A793" t="s">
        <v>88</v>
      </c>
      <c r="B793">
        <v>1</v>
      </c>
      <c r="C793" t="s">
        <v>867</v>
      </c>
      <c r="D793" t="s">
        <v>89</v>
      </c>
      <c r="E793" t="s">
        <v>868</v>
      </c>
      <c r="F793" t="s">
        <v>1019</v>
      </c>
      <c r="G793">
        <v>110</v>
      </c>
      <c r="H793" t="s">
        <v>1143</v>
      </c>
      <c r="I793" t="s">
        <v>1144</v>
      </c>
      <c r="J793" t="s">
        <v>872</v>
      </c>
      <c r="K793" t="s">
        <v>872</v>
      </c>
      <c r="L793">
        <v>1</v>
      </c>
      <c r="M793" s="5">
        <v>82739</v>
      </c>
      <c r="N793" s="5">
        <f>+M793*1.3</f>
        <v>107560.7</v>
      </c>
      <c r="O793" s="2">
        <f>+N793-M793</f>
        <v>24821.699999999997</v>
      </c>
    </row>
    <row r="794" spans="1:15" x14ac:dyDescent="0.2">
      <c r="A794" t="s">
        <v>88</v>
      </c>
      <c r="B794">
        <v>1</v>
      </c>
      <c r="C794" t="s">
        <v>867</v>
      </c>
      <c r="D794" t="s">
        <v>89</v>
      </c>
      <c r="E794" t="s">
        <v>868</v>
      </c>
      <c r="F794" t="s">
        <v>1019</v>
      </c>
      <c r="G794">
        <v>155</v>
      </c>
      <c r="H794" t="s">
        <v>1145</v>
      </c>
      <c r="I794" t="s">
        <v>1146</v>
      </c>
      <c r="J794" t="s">
        <v>872</v>
      </c>
      <c r="K794" t="s">
        <v>872</v>
      </c>
      <c r="L794">
        <v>1</v>
      </c>
      <c r="M794" s="5">
        <v>201376</v>
      </c>
      <c r="N794" s="5">
        <f>+M794*1.3</f>
        <v>261788.80000000002</v>
      </c>
      <c r="O794" s="2">
        <f>+N794-M794</f>
        <v>60412.800000000017</v>
      </c>
    </row>
    <row r="795" spans="1:15" x14ac:dyDescent="0.2">
      <c r="A795" t="s">
        <v>88</v>
      </c>
      <c r="B795">
        <v>1</v>
      </c>
      <c r="C795" t="s">
        <v>867</v>
      </c>
      <c r="D795" t="s">
        <v>89</v>
      </c>
      <c r="E795" t="s">
        <v>868</v>
      </c>
      <c r="F795" t="s">
        <v>1019</v>
      </c>
      <c r="G795">
        <v>1</v>
      </c>
      <c r="H795" t="s">
        <v>1147</v>
      </c>
      <c r="I795" t="s">
        <v>1148</v>
      </c>
      <c r="J795" t="s">
        <v>872</v>
      </c>
      <c r="K795" t="s">
        <v>872</v>
      </c>
      <c r="L795">
        <v>1</v>
      </c>
      <c r="M795" s="5">
        <v>16999</v>
      </c>
      <c r="N795" s="5">
        <f>+M795*1.3</f>
        <v>22098.7</v>
      </c>
      <c r="O795" s="2">
        <f>+N795-M795</f>
        <v>5099.7000000000007</v>
      </c>
    </row>
    <row r="796" spans="1:15" x14ac:dyDescent="0.2">
      <c r="A796" t="s">
        <v>28</v>
      </c>
      <c r="B796">
        <v>1</v>
      </c>
      <c r="C796" t="s">
        <v>867</v>
      </c>
      <c r="D796" t="s">
        <v>891</v>
      </c>
      <c r="E796" t="s">
        <v>868</v>
      </c>
      <c r="F796" t="s">
        <v>1019</v>
      </c>
      <c r="G796">
        <v>3</v>
      </c>
      <c r="H796" t="s">
        <v>1149</v>
      </c>
      <c r="I796" t="s">
        <v>1150</v>
      </c>
      <c r="J796" t="s">
        <v>872</v>
      </c>
      <c r="K796" t="s">
        <v>872</v>
      </c>
      <c r="L796">
        <v>1</v>
      </c>
      <c r="M796" s="5">
        <v>92228</v>
      </c>
      <c r="N796" s="5">
        <f>+M796*1.3</f>
        <v>119896.40000000001</v>
      </c>
      <c r="O796" s="2">
        <f>+N796-M796</f>
        <v>27668.400000000009</v>
      </c>
    </row>
    <row r="797" spans="1:15" x14ac:dyDescent="0.2">
      <c r="A797" t="s">
        <v>88</v>
      </c>
      <c r="B797">
        <v>1</v>
      </c>
      <c r="C797" t="s">
        <v>867</v>
      </c>
      <c r="D797" t="s">
        <v>89</v>
      </c>
      <c r="E797" t="s">
        <v>868</v>
      </c>
      <c r="F797" t="s">
        <v>1019</v>
      </c>
      <c r="G797">
        <v>5</v>
      </c>
      <c r="H797" t="s">
        <v>1151</v>
      </c>
      <c r="I797" t="s">
        <v>1152</v>
      </c>
      <c r="J797" t="s">
        <v>872</v>
      </c>
      <c r="K797" t="s">
        <v>872</v>
      </c>
      <c r="L797">
        <v>1</v>
      </c>
      <c r="M797" s="5">
        <v>23133</v>
      </c>
      <c r="N797" s="5">
        <f>+M797*1.3</f>
        <v>30072.9</v>
      </c>
      <c r="O797" s="2">
        <f>+N797-M797</f>
        <v>6939.9000000000015</v>
      </c>
    </row>
    <row r="798" spans="1:15" x14ac:dyDescent="0.2">
      <c r="A798" t="s">
        <v>88</v>
      </c>
      <c r="B798">
        <v>1</v>
      </c>
      <c r="C798" t="s">
        <v>867</v>
      </c>
      <c r="D798" t="s">
        <v>89</v>
      </c>
      <c r="E798" t="s">
        <v>868</v>
      </c>
      <c r="F798" t="s">
        <v>1019</v>
      </c>
      <c r="G798">
        <v>3</v>
      </c>
      <c r="H798" t="s">
        <v>1153</v>
      </c>
      <c r="I798" t="s">
        <v>1154</v>
      </c>
      <c r="J798" t="s">
        <v>872</v>
      </c>
      <c r="K798" t="s">
        <v>872</v>
      </c>
      <c r="L798">
        <v>1</v>
      </c>
      <c r="M798" s="5">
        <v>22377</v>
      </c>
      <c r="N798" s="5">
        <f>+M798*1.3</f>
        <v>29090.100000000002</v>
      </c>
      <c r="O798" s="2">
        <f>+N798-M798</f>
        <v>6713.1000000000022</v>
      </c>
    </row>
    <row r="799" spans="1:15" x14ac:dyDescent="0.2">
      <c r="A799" t="s">
        <v>88</v>
      </c>
      <c r="B799">
        <v>1</v>
      </c>
      <c r="C799" t="s">
        <v>867</v>
      </c>
      <c r="D799" t="s">
        <v>89</v>
      </c>
      <c r="E799" t="s">
        <v>868</v>
      </c>
      <c r="F799" t="s">
        <v>1019</v>
      </c>
      <c r="G799">
        <v>24</v>
      </c>
      <c r="H799" t="s">
        <v>1155</v>
      </c>
      <c r="I799" t="s">
        <v>1156</v>
      </c>
      <c r="J799" t="s">
        <v>872</v>
      </c>
      <c r="K799" t="s">
        <v>872</v>
      </c>
      <c r="L799">
        <v>1</v>
      </c>
      <c r="M799" s="5">
        <v>35352</v>
      </c>
      <c r="N799" s="5">
        <f>+M799*1.3</f>
        <v>45957.599999999999</v>
      </c>
      <c r="O799" s="2">
        <f>+N799-M799</f>
        <v>10605.599999999999</v>
      </c>
    </row>
    <row r="800" spans="1:15" x14ac:dyDescent="0.2">
      <c r="A800" t="s">
        <v>88</v>
      </c>
      <c r="B800">
        <v>1</v>
      </c>
      <c r="C800" t="s">
        <v>1157</v>
      </c>
      <c r="D800" t="s">
        <v>89</v>
      </c>
      <c r="E800" t="s">
        <v>868</v>
      </c>
      <c r="F800" t="s">
        <v>1158</v>
      </c>
      <c r="G800">
        <v>25</v>
      </c>
      <c r="H800" t="s">
        <v>1159</v>
      </c>
      <c r="I800" t="s">
        <v>1160</v>
      </c>
      <c r="J800" t="s">
        <v>872</v>
      </c>
      <c r="K800" t="s">
        <v>872</v>
      </c>
      <c r="L800">
        <v>1</v>
      </c>
      <c r="M800" s="5">
        <v>35579</v>
      </c>
      <c r="N800" s="5">
        <f>+M800*1.3</f>
        <v>46252.700000000004</v>
      </c>
      <c r="O800" s="2">
        <f>+N800-M800</f>
        <v>10673.700000000004</v>
      </c>
    </row>
    <row r="801" spans="1:15" x14ac:dyDescent="0.2">
      <c r="A801" t="s">
        <v>88</v>
      </c>
      <c r="B801">
        <v>1</v>
      </c>
      <c r="C801" t="s">
        <v>1157</v>
      </c>
      <c r="D801" t="s">
        <v>89</v>
      </c>
      <c r="E801" t="s">
        <v>868</v>
      </c>
      <c r="F801" t="s">
        <v>1158</v>
      </c>
      <c r="G801">
        <v>98</v>
      </c>
      <c r="H801" t="s">
        <v>1161</v>
      </c>
      <c r="I801" t="s">
        <v>1162</v>
      </c>
      <c r="J801" t="s">
        <v>872</v>
      </c>
      <c r="K801" t="s">
        <v>872</v>
      </c>
      <c r="L801">
        <v>1</v>
      </c>
      <c r="M801" s="5">
        <v>74583</v>
      </c>
      <c r="N801" s="5">
        <f>+M801*1.3</f>
        <v>96957.900000000009</v>
      </c>
      <c r="O801" s="2">
        <f>+N801-M801</f>
        <v>22374.900000000009</v>
      </c>
    </row>
    <row r="802" spans="1:15" x14ac:dyDescent="0.2">
      <c r="A802" t="s">
        <v>88</v>
      </c>
      <c r="B802">
        <v>1</v>
      </c>
      <c r="C802" t="s">
        <v>1157</v>
      </c>
      <c r="D802" t="s">
        <v>89</v>
      </c>
      <c r="E802" t="s">
        <v>868</v>
      </c>
      <c r="F802" t="s">
        <v>1158</v>
      </c>
      <c r="G802">
        <v>83</v>
      </c>
      <c r="H802" t="s">
        <v>1163</v>
      </c>
      <c r="I802" t="s">
        <v>1164</v>
      </c>
      <c r="J802" t="s">
        <v>872</v>
      </c>
      <c r="K802" t="s">
        <v>872</v>
      </c>
      <c r="L802">
        <v>1</v>
      </c>
      <c r="M802" s="5">
        <v>66957</v>
      </c>
      <c r="N802" s="5">
        <f>+M802*1.3</f>
        <v>87044.1</v>
      </c>
      <c r="O802" s="2">
        <f>+N802-M802</f>
        <v>20087.100000000006</v>
      </c>
    </row>
    <row r="803" spans="1:15" x14ac:dyDescent="0.2">
      <c r="A803" t="s">
        <v>88</v>
      </c>
      <c r="B803">
        <v>1</v>
      </c>
      <c r="C803" t="s">
        <v>1157</v>
      </c>
      <c r="D803" t="s">
        <v>89</v>
      </c>
      <c r="E803" t="s">
        <v>868</v>
      </c>
      <c r="F803" t="s">
        <v>1158</v>
      </c>
      <c r="G803">
        <v>78</v>
      </c>
      <c r="H803" t="s">
        <v>1165</v>
      </c>
      <c r="I803" t="s">
        <v>1166</v>
      </c>
      <c r="J803" t="s">
        <v>872</v>
      </c>
      <c r="K803" t="s">
        <v>872</v>
      </c>
      <c r="L803">
        <v>1</v>
      </c>
      <c r="M803" s="5">
        <v>62899</v>
      </c>
      <c r="N803" s="5">
        <f>+M803*1.3</f>
        <v>81768.7</v>
      </c>
      <c r="O803" s="2">
        <f>+N803-M803</f>
        <v>18869.699999999997</v>
      </c>
    </row>
    <row r="804" spans="1:15" x14ac:dyDescent="0.2">
      <c r="A804" t="s">
        <v>88</v>
      </c>
      <c r="B804">
        <v>1</v>
      </c>
      <c r="C804" t="s">
        <v>1157</v>
      </c>
      <c r="D804" t="s">
        <v>89</v>
      </c>
      <c r="E804" t="s">
        <v>868</v>
      </c>
      <c r="F804" t="s">
        <v>1158</v>
      </c>
      <c r="G804">
        <v>15</v>
      </c>
      <c r="H804" t="s">
        <v>1167</v>
      </c>
      <c r="I804" t="s">
        <v>1168</v>
      </c>
      <c r="J804" t="s">
        <v>872</v>
      </c>
      <c r="K804" t="s">
        <v>872</v>
      </c>
      <c r="L804">
        <v>1</v>
      </c>
      <c r="M804" s="5">
        <v>30216</v>
      </c>
      <c r="N804" s="5">
        <f>+M804*1.3</f>
        <v>39280.800000000003</v>
      </c>
      <c r="O804" s="2">
        <f>+N804-M804</f>
        <v>9064.8000000000029</v>
      </c>
    </row>
    <row r="805" spans="1:15" x14ac:dyDescent="0.2">
      <c r="A805" t="s">
        <v>88</v>
      </c>
      <c r="B805">
        <v>1</v>
      </c>
      <c r="C805" t="s">
        <v>1157</v>
      </c>
      <c r="D805" t="s">
        <v>89</v>
      </c>
      <c r="E805" t="s">
        <v>868</v>
      </c>
      <c r="F805" t="s">
        <v>1158</v>
      </c>
      <c r="G805">
        <v>51</v>
      </c>
      <c r="H805" t="s">
        <v>1169</v>
      </c>
      <c r="I805" t="s">
        <v>1170</v>
      </c>
      <c r="J805" t="s">
        <v>872</v>
      </c>
      <c r="K805" t="s">
        <v>872</v>
      </c>
      <c r="L805">
        <v>1</v>
      </c>
      <c r="M805" s="5">
        <v>51459</v>
      </c>
      <c r="N805" s="5">
        <f>+M805*1.3</f>
        <v>66896.7</v>
      </c>
      <c r="O805" s="2">
        <f>+N805-M805</f>
        <v>15437.699999999997</v>
      </c>
    </row>
    <row r="806" spans="1:15" x14ac:dyDescent="0.2">
      <c r="A806" t="s">
        <v>88</v>
      </c>
      <c r="B806">
        <v>1</v>
      </c>
      <c r="C806" t="s">
        <v>1157</v>
      </c>
      <c r="D806" t="s">
        <v>89</v>
      </c>
      <c r="E806" t="s">
        <v>868</v>
      </c>
      <c r="F806" t="s">
        <v>1158</v>
      </c>
      <c r="G806">
        <v>74</v>
      </c>
      <c r="H806" t="s">
        <v>1171</v>
      </c>
      <c r="I806" t="s">
        <v>1172</v>
      </c>
      <c r="J806" t="s">
        <v>872</v>
      </c>
      <c r="K806" t="s">
        <v>872</v>
      </c>
      <c r="L806">
        <v>1</v>
      </c>
      <c r="M806" s="5">
        <v>61769</v>
      </c>
      <c r="N806" s="5">
        <f>+M806*1.3</f>
        <v>80299.7</v>
      </c>
      <c r="O806" s="2">
        <f>+N806-M806</f>
        <v>18530.699999999997</v>
      </c>
    </row>
    <row r="807" spans="1:15" x14ac:dyDescent="0.2">
      <c r="A807" t="s">
        <v>88</v>
      </c>
      <c r="B807">
        <v>1</v>
      </c>
      <c r="C807" t="s">
        <v>1157</v>
      </c>
      <c r="D807" t="s">
        <v>89</v>
      </c>
      <c r="E807" t="s">
        <v>868</v>
      </c>
      <c r="F807" t="s">
        <v>1158</v>
      </c>
      <c r="G807">
        <v>86</v>
      </c>
      <c r="H807" t="s">
        <v>1173</v>
      </c>
      <c r="I807" t="s">
        <v>1174</v>
      </c>
      <c r="J807" t="s">
        <v>872</v>
      </c>
      <c r="K807" t="s">
        <v>872</v>
      </c>
      <c r="L807">
        <v>1</v>
      </c>
      <c r="M807" s="5">
        <v>67808</v>
      </c>
      <c r="N807" s="5">
        <f>+M807*1.3</f>
        <v>88150.400000000009</v>
      </c>
      <c r="O807" s="2">
        <f>+N807-M807</f>
        <v>20342.400000000009</v>
      </c>
    </row>
    <row r="808" spans="1:15" x14ac:dyDescent="0.2">
      <c r="A808" t="s">
        <v>88</v>
      </c>
      <c r="B808">
        <v>1</v>
      </c>
      <c r="C808" t="s">
        <v>1157</v>
      </c>
      <c r="D808" t="s">
        <v>89</v>
      </c>
      <c r="E808" t="s">
        <v>868</v>
      </c>
      <c r="F808" t="s">
        <v>1158</v>
      </c>
      <c r="G808">
        <v>105</v>
      </c>
      <c r="H808" t="s">
        <v>1175</v>
      </c>
      <c r="I808" t="s">
        <v>1176</v>
      </c>
      <c r="J808" t="s">
        <v>872</v>
      </c>
      <c r="K808" t="s">
        <v>872</v>
      </c>
      <c r="L808">
        <v>1</v>
      </c>
      <c r="M808" s="5">
        <v>79501</v>
      </c>
      <c r="N808" s="5">
        <f>+M808*1.3</f>
        <v>103351.3</v>
      </c>
      <c r="O808" s="2">
        <f>+N808-M808</f>
        <v>23850.300000000003</v>
      </c>
    </row>
    <row r="809" spans="1:15" x14ac:dyDescent="0.2">
      <c r="A809" t="s">
        <v>88</v>
      </c>
      <c r="B809">
        <v>1</v>
      </c>
      <c r="C809" t="s">
        <v>1157</v>
      </c>
      <c r="D809" t="s">
        <v>89</v>
      </c>
      <c r="E809" t="s">
        <v>868</v>
      </c>
      <c r="F809" t="s">
        <v>1158</v>
      </c>
      <c r="G809">
        <v>123</v>
      </c>
      <c r="H809" t="s">
        <v>1177</v>
      </c>
      <c r="I809" t="s">
        <v>1178</v>
      </c>
      <c r="J809" t="s">
        <v>872</v>
      </c>
      <c r="K809" t="s">
        <v>872</v>
      </c>
      <c r="L809">
        <v>1</v>
      </c>
      <c r="M809" s="5">
        <v>100573</v>
      </c>
      <c r="N809" s="5">
        <f>+M809*1.3</f>
        <v>130744.90000000001</v>
      </c>
      <c r="O809" s="2">
        <f>+N809-M809</f>
        <v>30171.900000000009</v>
      </c>
    </row>
    <row r="810" spans="1:15" x14ac:dyDescent="0.2">
      <c r="A810" t="s">
        <v>88</v>
      </c>
      <c r="B810">
        <v>1</v>
      </c>
      <c r="C810" t="s">
        <v>1157</v>
      </c>
      <c r="D810" t="s">
        <v>89</v>
      </c>
      <c r="E810" t="s">
        <v>868</v>
      </c>
      <c r="F810" t="s">
        <v>1158</v>
      </c>
      <c r="G810">
        <v>138</v>
      </c>
      <c r="H810" t="s">
        <v>1179</v>
      </c>
      <c r="I810" t="s">
        <v>1180</v>
      </c>
      <c r="J810" t="s">
        <v>872</v>
      </c>
      <c r="K810" t="s">
        <v>872</v>
      </c>
      <c r="L810">
        <v>1</v>
      </c>
      <c r="M810" s="5">
        <v>129164</v>
      </c>
      <c r="N810" s="5">
        <f>+M810*1.3</f>
        <v>167913.2</v>
      </c>
      <c r="O810" s="2">
        <f>+N810-M810</f>
        <v>38749.200000000012</v>
      </c>
    </row>
    <row r="811" spans="1:15" x14ac:dyDescent="0.2">
      <c r="A811" t="s">
        <v>88</v>
      </c>
      <c r="B811">
        <v>1</v>
      </c>
      <c r="C811" t="s">
        <v>1157</v>
      </c>
      <c r="D811" t="s">
        <v>89</v>
      </c>
      <c r="E811" t="s">
        <v>868</v>
      </c>
      <c r="F811" t="s">
        <v>1158</v>
      </c>
      <c r="G811">
        <v>26</v>
      </c>
      <c r="H811" t="s">
        <v>1181</v>
      </c>
      <c r="I811" t="s">
        <v>1182</v>
      </c>
      <c r="J811" t="s">
        <v>872</v>
      </c>
      <c r="K811" t="s">
        <v>872</v>
      </c>
      <c r="L811">
        <v>1</v>
      </c>
      <c r="M811" s="5">
        <v>37314</v>
      </c>
      <c r="N811" s="5">
        <f>+M811*1.3</f>
        <v>48508.200000000004</v>
      </c>
      <c r="O811" s="2">
        <f>+N811-M811</f>
        <v>11194.200000000004</v>
      </c>
    </row>
    <row r="812" spans="1:15" x14ac:dyDescent="0.2">
      <c r="A812" t="s">
        <v>88</v>
      </c>
      <c r="B812">
        <v>1</v>
      </c>
      <c r="C812" t="s">
        <v>1157</v>
      </c>
      <c r="D812" t="s">
        <v>89</v>
      </c>
      <c r="E812" t="s">
        <v>868</v>
      </c>
      <c r="F812" t="s">
        <v>1158</v>
      </c>
      <c r="G812">
        <v>17</v>
      </c>
      <c r="H812" t="s">
        <v>1183</v>
      </c>
      <c r="I812" t="s">
        <v>1184</v>
      </c>
      <c r="J812" t="s">
        <v>872</v>
      </c>
      <c r="K812" t="s">
        <v>872</v>
      </c>
      <c r="L812">
        <v>1</v>
      </c>
      <c r="M812" s="5">
        <v>31311</v>
      </c>
      <c r="N812" s="5">
        <f>+M812*1.3</f>
        <v>40704.300000000003</v>
      </c>
      <c r="O812" s="2">
        <f>+N812-M812</f>
        <v>9393.3000000000029</v>
      </c>
    </row>
    <row r="813" spans="1:15" x14ac:dyDescent="0.2">
      <c r="A813" t="s">
        <v>88</v>
      </c>
      <c r="B813">
        <v>1</v>
      </c>
      <c r="C813" t="s">
        <v>1157</v>
      </c>
      <c r="D813" t="s">
        <v>89</v>
      </c>
      <c r="E813" t="s">
        <v>868</v>
      </c>
      <c r="F813" t="s">
        <v>1158</v>
      </c>
      <c r="G813">
        <v>34</v>
      </c>
      <c r="H813" t="s">
        <v>1185</v>
      </c>
      <c r="I813" t="s">
        <v>1186</v>
      </c>
      <c r="J813" t="s">
        <v>872</v>
      </c>
      <c r="K813" t="s">
        <v>872</v>
      </c>
      <c r="L813">
        <v>1</v>
      </c>
      <c r="M813" s="5">
        <v>43907</v>
      </c>
      <c r="N813" s="5">
        <f>+M813*1.3</f>
        <v>57079.1</v>
      </c>
      <c r="O813" s="2">
        <f>+N813-M813</f>
        <v>13172.099999999999</v>
      </c>
    </row>
    <row r="814" spans="1:15" x14ac:dyDescent="0.2">
      <c r="A814" t="s">
        <v>88</v>
      </c>
      <c r="B814">
        <v>1</v>
      </c>
      <c r="C814" t="s">
        <v>1157</v>
      </c>
      <c r="D814" t="s">
        <v>89</v>
      </c>
      <c r="E814" t="s">
        <v>868</v>
      </c>
      <c r="F814" t="s">
        <v>1158</v>
      </c>
      <c r="G814">
        <v>151</v>
      </c>
      <c r="H814" t="s">
        <v>1187</v>
      </c>
      <c r="I814" t="s">
        <v>1188</v>
      </c>
      <c r="J814" t="s">
        <v>872</v>
      </c>
      <c r="K814" t="s">
        <v>872</v>
      </c>
      <c r="L814">
        <v>1</v>
      </c>
      <c r="M814" s="5">
        <v>170704</v>
      </c>
      <c r="N814" s="5">
        <f>+M814*1.3</f>
        <v>221915.2</v>
      </c>
      <c r="O814" s="2">
        <f>+N814-M814</f>
        <v>51211.200000000012</v>
      </c>
    </row>
    <row r="815" spans="1:15" x14ac:dyDescent="0.2">
      <c r="A815" t="s">
        <v>88</v>
      </c>
      <c r="B815">
        <v>1</v>
      </c>
      <c r="C815" t="s">
        <v>1157</v>
      </c>
      <c r="D815" t="s">
        <v>89</v>
      </c>
      <c r="E815" t="s">
        <v>868</v>
      </c>
      <c r="F815" t="s">
        <v>1158</v>
      </c>
      <c r="G815">
        <v>44</v>
      </c>
      <c r="H815" t="s">
        <v>1189</v>
      </c>
      <c r="I815" t="s">
        <v>1190</v>
      </c>
      <c r="J815" t="s">
        <v>872</v>
      </c>
      <c r="K815" t="s">
        <v>872</v>
      </c>
      <c r="L815">
        <v>1</v>
      </c>
      <c r="M815" s="5">
        <v>48450</v>
      </c>
      <c r="N815" s="5">
        <f>+M815*1.3</f>
        <v>62985</v>
      </c>
      <c r="O815" s="2">
        <f>+N815-M815</f>
        <v>14535</v>
      </c>
    </row>
    <row r="816" spans="1:15" x14ac:dyDescent="0.2">
      <c r="A816" t="s">
        <v>88</v>
      </c>
      <c r="B816">
        <v>1</v>
      </c>
      <c r="C816" t="s">
        <v>1157</v>
      </c>
      <c r="D816" t="s">
        <v>89</v>
      </c>
      <c r="E816" t="s">
        <v>868</v>
      </c>
      <c r="F816" t="s">
        <v>1158</v>
      </c>
      <c r="G816">
        <v>37</v>
      </c>
      <c r="H816" t="s">
        <v>1191</v>
      </c>
      <c r="I816" t="s">
        <v>1192</v>
      </c>
      <c r="J816" t="s">
        <v>872</v>
      </c>
      <c r="K816" t="s">
        <v>872</v>
      </c>
      <c r="L816">
        <v>1</v>
      </c>
      <c r="M816" s="5">
        <v>44989</v>
      </c>
      <c r="N816" s="5">
        <f>+M816*1.3</f>
        <v>58485.700000000004</v>
      </c>
      <c r="O816" s="2">
        <f>+N816-M816</f>
        <v>13496.700000000004</v>
      </c>
    </row>
    <row r="817" spans="1:15" x14ac:dyDescent="0.2">
      <c r="A817" t="s">
        <v>88</v>
      </c>
      <c r="B817">
        <v>1</v>
      </c>
      <c r="C817" t="s">
        <v>1157</v>
      </c>
      <c r="D817" t="s">
        <v>89</v>
      </c>
      <c r="E817" t="s">
        <v>868</v>
      </c>
      <c r="F817" t="s">
        <v>1158</v>
      </c>
      <c r="G817">
        <v>35</v>
      </c>
      <c r="H817" t="s">
        <v>1193</v>
      </c>
      <c r="I817" t="s">
        <v>1194</v>
      </c>
      <c r="J817" t="s">
        <v>872</v>
      </c>
      <c r="K817" t="s">
        <v>872</v>
      </c>
      <c r="L817">
        <v>1</v>
      </c>
      <c r="M817" s="5">
        <v>44272</v>
      </c>
      <c r="N817" s="5">
        <f>+M817*1.3</f>
        <v>57553.599999999999</v>
      </c>
      <c r="O817" s="2">
        <f>+N817-M817</f>
        <v>13281.599999999999</v>
      </c>
    </row>
    <row r="818" spans="1:15" x14ac:dyDescent="0.2">
      <c r="A818" t="s">
        <v>88</v>
      </c>
      <c r="B818">
        <v>1</v>
      </c>
      <c r="C818" t="s">
        <v>1157</v>
      </c>
      <c r="D818" t="s">
        <v>89</v>
      </c>
      <c r="E818" t="s">
        <v>868</v>
      </c>
      <c r="F818" t="s">
        <v>1158</v>
      </c>
      <c r="G818">
        <v>103</v>
      </c>
      <c r="H818" t="s">
        <v>1195</v>
      </c>
      <c r="I818" t="s">
        <v>1196</v>
      </c>
      <c r="J818" t="s">
        <v>872</v>
      </c>
      <c r="K818" t="s">
        <v>872</v>
      </c>
      <c r="L818">
        <v>1</v>
      </c>
      <c r="M818" s="5">
        <v>77449</v>
      </c>
      <c r="N818" s="5">
        <f>+M818*1.3</f>
        <v>100683.7</v>
      </c>
      <c r="O818" s="2">
        <f>+N818-M818</f>
        <v>23234.699999999997</v>
      </c>
    </row>
    <row r="819" spans="1:15" x14ac:dyDescent="0.2">
      <c r="A819" t="s">
        <v>88</v>
      </c>
      <c r="B819">
        <v>1</v>
      </c>
      <c r="C819" t="s">
        <v>1157</v>
      </c>
      <c r="D819" t="s">
        <v>89</v>
      </c>
      <c r="E819" t="s">
        <v>868</v>
      </c>
      <c r="F819" t="s">
        <v>1158</v>
      </c>
      <c r="G819">
        <v>71</v>
      </c>
      <c r="H819" t="s">
        <v>1197</v>
      </c>
      <c r="I819" t="s">
        <v>1198</v>
      </c>
      <c r="J819" t="s">
        <v>872</v>
      </c>
      <c r="K819" t="s">
        <v>872</v>
      </c>
      <c r="L819">
        <v>1</v>
      </c>
      <c r="M819" s="5">
        <v>60856</v>
      </c>
      <c r="N819" s="5">
        <f>+M819*1.3</f>
        <v>79112.800000000003</v>
      </c>
      <c r="O819" s="2">
        <f>+N819-M819</f>
        <v>18256.800000000003</v>
      </c>
    </row>
    <row r="820" spans="1:15" x14ac:dyDescent="0.2">
      <c r="A820" t="s">
        <v>88</v>
      </c>
      <c r="B820">
        <v>1</v>
      </c>
      <c r="C820" t="s">
        <v>1157</v>
      </c>
      <c r="D820" t="s">
        <v>89</v>
      </c>
      <c r="E820" t="s">
        <v>868</v>
      </c>
      <c r="F820" t="s">
        <v>1158</v>
      </c>
      <c r="G820">
        <v>89</v>
      </c>
      <c r="H820" t="s">
        <v>1199</v>
      </c>
      <c r="I820" t="s">
        <v>1200</v>
      </c>
      <c r="J820" t="s">
        <v>872</v>
      </c>
      <c r="K820" t="s">
        <v>872</v>
      </c>
      <c r="L820">
        <v>1</v>
      </c>
      <c r="M820" s="5">
        <v>69715</v>
      </c>
      <c r="N820" s="5">
        <f>+M820*1.3</f>
        <v>90629.5</v>
      </c>
      <c r="O820" s="2">
        <f>+N820-M820</f>
        <v>20914.5</v>
      </c>
    </row>
    <row r="821" spans="1:15" x14ac:dyDescent="0.2">
      <c r="A821" t="s">
        <v>88</v>
      </c>
      <c r="B821">
        <v>1</v>
      </c>
      <c r="C821" t="s">
        <v>1157</v>
      </c>
      <c r="D821" t="s">
        <v>89</v>
      </c>
      <c r="E821" t="s">
        <v>868</v>
      </c>
      <c r="F821" t="s">
        <v>1158</v>
      </c>
      <c r="G821">
        <v>104</v>
      </c>
      <c r="H821" t="s">
        <v>1201</v>
      </c>
      <c r="I821" t="s">
        <v>1202</v>
      </c>
      <c r="J821" t="s">
        <v>872</v>
      </c>
      <c r="K821" t="s">
        <v>872</v>
      </c>
      <c r="L821">
        <v>1</v>
      </c>
      <c r="M821" s="5">
        <v>77672</v>
      </c>
      <c r="N821" s="5">
        <f>+M821*1.3</f>
        <v>100973.6</v>
      </c>
      <c r="O821" s="2">
        <f>+N821-M821</f>
        <v>23301.600000000006</v>
      </c>
    </row>
    <row r="822" spans="1:15" x14ac:dyDescent="0.2">
      <c r="A822" t="s">
        <v>88</v>
      </c>
      <c r="B822">
        <v>1</v>
      </c>
      <c r="C822" t="s">
        <v>1157</v>
      </c>
      <c r="D822" t="s">
        <v>89</v>
      </c>
      <c r="E822" t="s">
        <v>868</v>
      </c>
      <c r="F822" t="s">
        <v>1158</v>
      </c>
      <c r="G822">
        <v>40</v>
      </c>
      <c r="H822" t="s">
        <v>1203</v>
      </c>
      <c r="I822" t="s">
        <v>1204</v>
      </c>
      <c r="J822" t="s">
        <v>872</v>
      </c>
      <c r="K822" t="s">
        <v>872</v>
      </c>
      <c r="L822">
        <v>1</v>
      </c>
      <c r="M822" s="5">
        <v>45561</v>
      </c>
      <c r="N822" s="5">
        <f>+M822*1.3</f>
        <v>59229.3</v>
      </c>
      <c r="O822" s="2">
        <f>+N822-M822</f>
        <v>13668.300000000003</v>
      </c>
    </row>
    <row r="823" spans="1:15" x14ac:dyDescent="0.2">
      <c r="A823" t="s">
        <v>88</v>
      </c>
      <c r="B823">
        <v>1</v>
      </c>
      <c r="C823" t="s">
        <v>1157</v>
      </c>
      <c r="D823" t="s">
        <v>89</v>
      </c>
      <c r="E823" t="s">
        <v>868</v>
      </c>
      <c r="F823" t="s">
        <v>1158</v>
      </c>
      <c r="G823">
        <v>30</v>
      </c>
      <c r="H823" t="s">
        <v>1205</v>
      </c>
      <c r="I823" t="s">
        <v>1206</v>
      </c>
      <c r="J823" t="s">
        <v>872</v>
      </c>
      <c r="K823" t="s">
        <v>872</v>
      </c>
      <c r="L823">
        <v>1</v>
      </c>
      <c r="M823" s="5">
        <v>40975</v>
      </c>
      <c r="N823" s="5">
        <f>+M823*1.3</f>
        <v>53267.5</v>
      </c>
      <c r="O823" s="2">
        <f>+N823-M823</f>
        <v>12292.5</v>
      </c>
    </row>
    <row r="824" spans="1:15" x14ac:dyDescent="0.2">
      <c r="A824" t="s">
        <v>88</v>
      </c>
      <c r="B824">
        <v>1</v>
      </c>
      <c r="C824" t="s">
        <v>1157</v>
      </c>
      <c r="D824" t="s">
        <v>89</v>
      </c>
      <c r="E824" t="s">
        <v>868</v>
      </c>
      <c r="F824" t="s">
        <v>1158</v>
      </c>
      <c r="G824">
        <v>81</v>
      </c>
      <c r="H824" t="s">
        <v>1207</v>
      </c>
      <c r="I824" t="s">
        <v>1208</v>
      </c>
      <c r="J824" t="s">
        <v>872</v>
      </c>
      <c r="K824" t="s">
        <v>872</v>
      </c>
      <c r="L824">
        <v>1</v>
      </c>
      <c r="M824" s="5">
        <v>66666</v>
      </c>
      <c r="N824" s="5">
        <f>+M824*1.3</f>
        <v>86665.8</v>
      </c>
      <c r="O824" s="2">
        <f>+N824-M824</f>
        <v>19999.800000000003</v>
      </c>
    </row>
    <row r="825" spans="1:15" x14ac:dyDescent="0.2">
      <c r="A825" t="s">
        <v>88</v>
      </c>
      <c r="B825">
        <v>1</v>
      </c>
      <c r="C825" t="s">
        <v>1157</v>
      </c>
      <c r="D825" t="s">
        <v>89</v>
      </c>
      <c r="E825" t="s">
        <v>868</v>
      </c>
      <c r="F825" t="s">
        <v>1158</v>
      </c>
      <c r="G825">
        <v>91</v>
      </c>
      <c r="H825" t="s">
        <v>1209</v>
      </c>
      <c r="I825" t="s">
        <v>1210</v>
      </c>
      <c r="J825" t="s">
        <v>872</v>
      </c>
      <c r="K825" t="s">
        <v>872</v>
      </c>
      <c r="L825">
        <v>1</v>
      </c>
      <c r="M825" s="5">
        <v>70842</v>
      </c>
      <c r="N825" s="5">
        <f>+M825*1.3</f>
        <v>92094.6</v>
      </c>
      <c r="O825" s="2">
        <f>+N825-M825</f>
        <v>21252.600000000006</v>
      </c>
    </row>
    <row r="826" spans="1:15" x14ac:dyDescent="0.2">
      <c r="A826" t="s">
        <v>88</v>
      </c>
      <c r="B826">
        <v>1</v>
      </c>
      <c r="C826" t="s">
        <v>1157</v>
      </c>
      <c r="D826" t="s">
        <v>89</v>
      </c>
      <c r="E826" t="s">
        <v>868</v>
      </c>
      <c r="F826" t="s">
        <v>1158</v>
      </c>
      <c r="G826">
        <v>66</v>
      </c>
      <c r="H826" t="s">
        <v>1211</v>
      </c>
      <c r="I826" t="s">
        <v>1212</v>
      </c>
      <c r="J826" t="s">
        <v>872</v>
      </c>
      <c r="K826" t="s">
        <v>872</v>
      </c>
      <c r="L826">
        <v>1</v>
      </c>
      <c r="M826" s="5">
        <v>59235</v>
      </c>
      <c r="N826" s="5">
        <f>+M826*1.3</f>
        <v>77005.5</v>
      </c>
      <c r="O826" s="2">
        <f>+N826-M826</f>
        <v>17770.5</v>
      </c>
    </row>
    <row r="827" spans="1:15" x14ac:dyDescent="0.2">
      <c r="A827" t="s">
        <v>88</v>
      </c>
      <c r="B827">
        <v>1</v>
      </c>
      <c r="C827" t="s">
        <v>1157</v>
      </c>
      <c r="D827" t="s">
        <v>89</v>
      </c>
      <c r="E827" t="s">
        <v>868</v>
      </c>
      <c r="F827" t="s">
        <v>1158</v>
      </c>
      <c r="G827">
        <v>80</v>
      </c>
      <c r="H827" t="s">
        <v>1213</v>
      </c>
      <c r="I827" t="s">
        <v>1214</v>
      </c>
      <c r="J827" t="s">
        <v>872</v>
      </c>
      <c r="K827" t="s">
        <v>872</v>
      </c>
      <c r="L827">
        <v>1</v>
      </c>
      <c r="M827" s="5">
        <v>66358</v>
      </c>
      <c r="N827" s="5">
        <f>+M827*1.3</f>
        <v>86265.400000000009</v>
      </c>
      <c r="O827" s="2">
        <f>+N827-M827</f>
        <v>19907.400000000009</v>
      </c>
    </row>
    <row r="828" spans="1:15" x14ac:dyDescent="0.2">
      <c r="A828" t="s">
        <v>88</v>
      </c>
      <c r="B828">
        <v>1</v>
      </c>
      <c r="C828" t="s">
        <v>1157</v>
      </c>
      <c r="D828" t="s">
        <v>89</v>
      </c>
      <c r="E828" t="s">
        <v>868</v>
      </c>
      <c r="F828" t="s">
        <v>1158</v>
      </c>
      <c r="G828">
        <v>93</v>
      </c>
      <c r="H828" t="s">
        <v>1215</v>
      </c>
      <c r="I828" t="s">
        <v>1216</v>
      </c>
      <c r="J828" t="s">
        <v>872</v>
      </c>
      <c r="K828" t="s">
        <v>872</v>
      </c>
      <c r="L828">
        <v>1</v>
      </c>
      <c r="M828" s="5">
        <v>73109</v>
      </c>
      <c r="N828" s="5">
        <f>+M828*1.3</f>
        <v>95041.7</v>
      </c>
      <c r="O828" s="2">
        <f>+N828-M828</f>
        <v>21932.699999999997</v>
      </c>
    </row>
    <row r="829" spans="1:15" x14ac:dyDescent="0.2">
      <c r="A829" t="s">
        <v>88</v>
      </c>
      <c r="B829">
        <v>1</v>
      </c>
      <c r="C829" t="s">
        <v>1157</v>
      </c>
      <c r="D829" t="s">
        <v>89</v>
      </c>
      <c r="E829" t="s">
        <v>868</v>
      </c>
      <c r="F829" t="s">
        <v>1158</v>
      </c>
      <c r="G829">
        <v>139</v>
      </c>
      <c r="H829" t="s">
        <v>1217</v>
      </c>
      <c r="I829" t="s">
        <v>1218</v>
      </c>
      <c r="J829" t="s">
        <v>872</v>
      </c>
      <c r="K829" t="s">
        <v>872</v>
      </c>
      <c r="L829">
        <v>1</v>
      </c>
      <c r="M829" s="5">
        <v>131282</v>
      </c>
      <c r="N829" s="5">
        <f>+M829*1.3</f>
        <v>170666.6</v>
      </c>
      <c r="O829" s="2">
        <f>+N829-M829</f>
        <v>39384.600000000006</v>
      </c>
    </row>
    <row r="830" spans="1:15" x14ac:dyDescent="0.2">
      <c r="A830" t="s">
        <v>88</v>
      </c>
      <c r="B830">
        <v>1</v>
      </c>
      <c r="C830" t="s">
        <v>1157</v>
      </c>
      <c r="D830" t="s">
        <v>89</v>
      </c>
      <c r="E830" t="s">
        <v>868</v>
      </c>
      <c r="F830" t="s">
        <v>1158</v>
      </c>
      <c r="G830">
        <v>79</v>
      </c>
      <c r="H830" t="s">
        <v>1219</v>
      </c>
      <c r="I830" t="s">
        <v>1220</v>
      </c>
      <c r="J830" t="s">
        <v>872</v>
      </c>
      <c r="K830" t="s">
        <v>872</v>
      </c>
      <c r="L830">
        <v>1</v>
      </c>
      <c r="M830" s="5">
        <v>64534</v>
      </c>
      <c r="N830" s="5">
        <f>+M830*1.3</f>
        <v>83894.2</v>
      </c>
      <c r="O830" s="2">
        <f>+N830-M830</f>
        <v>19360.199999999997</v>
      </c>
    </row>
    <row r="831" spans="1:15" x14ac:dyDescent="0.2">
      <c r="A831" t="s">
        <v>88</v>
      </c>
      <c r="B831">
        <v>1</v>
      </c>
      <c r="C831" t="s">
        <v>1157</v>
      </c>
      <c r="D831" t="s">
        <v>89</v>
      </c>
      <c r="E831" t="s">
        <v>868</v>
      </c>
      <c r="F831" t="s">
        <v>1158</v>
      </c>
      <c r="G831">
        <v>58</v>
      </c>
      <c r="H831" t="s">
        <v>1221</v>
      </c>
      <c r="I831" t="s">
        <v>1222</v>
      </c>
      <c r="J831" t="s">
        <v>872</v>
      </c>
      <c r="K831" t="s">
        <v>872</v>
      </c>
      <c r="L831">
        <v>1</v>
      </c>
      <c r="M831" s="5">
        <v>55034</v>
      </c>
      <c r="N831" s="5">
        <f>+M831*1.3</f>
        <v>71544.2</v>
      </c>
      <c r="O831" s="2">
        <f>+N831-M831</f>
        <v>16510.199999999997</v>
      </c>
    </row>
    <row r="832" spans="1:15" x14ac:dyDescent="0.2">
      <c r="A832" t="s">
        <v>88</v>
      </c>
      <c r="B832">
        <v>1</v>
      </c>
      <c r="C832" t="s">
        <v>1157</v>
      </c>
      <c r="D832" t="s">
        <v>89</v>
      </c>
      <c r="E832" t="s">
        <v>868</v>
      </c>
      <c r="F832" t="s">
        <v>1158</v>
      </c>
      <c r="G832">
        <v>56</v>
      </c>
      <c r="H832" t="s">
        <v>1223</v>
      </c>
      <c r="I832" t="s">
        <v>1224</v>
      </c>
      <c r="J832" t="s">
        <v>872</v>
      </c>
      <c r="K832" t="s">
        <v>872</v>
      </c>
      <c r="L832">
        <v>1</v>
      </c>
      <c r="M832" s="5">
        <v>53440</v>
      </c>
      <c r="N832" s="5">
        <f>+M832*1.3</f>
        <v>69472</v>
      </c>
      <c r="O832" s="2">
        <f>+N832-M832</f>
        <v>16032</v>
      </c>
    </row>
    <row r="833" spans="1:15" x14ac:dyDescent="0.2">
      <c r="A833" t="s">
        <v>88</v>
      </c>
      <c r="B833">
        <v>1</v>
      </c>
      <c r="C833" t="s">
        <v>1157</v>
      </c>
      <c r="D833" t="s">
        <v>89</v>
      </c>
      <c r="E833" t="s">
        <v>868</v>
      </c>
      <c r="F833" t="s">
        <v>1158</v>
      </c>
      <c r="G833">
        <v>32</v>
      </c>
      <c r="H833" t="s">
        <v>1225</v>
      </c>
      <c r="I833" t="s">
        <v>1226</v>
      </c>
      <c r="J833" t="s">
        <v>872</v>
      </c>
      <c r="K833" t="s">
        <v>872</v>
      </c>
      <c r="L833">
        <v>1</v>
      </c>
      <c r="M833" s="5">
        <v>41703</v>
      </c>
      <c r="N833" s="5">
        <f>+M833*1.3</f>
        <v>54213.9</v>
      </c>
      <c r="O833" s="2">
        <f>+N833-M833</f>
        <v>12510.900000000001</v>
      </c>
    </row>
    <row r="834" spans="1:15" x14ac:dyDescent="0.2">
      <c r="A834" t="s">
        <v>88</v>
      </c>
      <c r="B834">
        <v>1</v>
      </c>
      <c r="C834" t="s">
        <v>1157</v>
      </c>
      <c r="D834" t="s">
        <v>89</v>
      </c>
      <c r="E834" t="s">
        <v>868</v>
      </c>
      <c r="F834" t="s">
        <v>1158</v>
      </c>
      <c r="G834">
        <v>99</v>
      </c>
      <c r="H834" t="s">
        <v>1227</v>
      </c>
      <c r="I834" t="s">
        <v>1228</v>
      </c>
      <c r="J834" t="s">
        <v>872</v>
      </c>
      <c r="K834" t="s">
        <v>872</v>
      </c>
      <c r="L834">
        <v>1</v>
      </c>
      <c r="M834" s="5">
        <v>76600</v>
      </c>
      <c r="N834" s="5">
        <f>+M834*1.3</f>
        <v>99580</v>
      </c>
      <c r="O834" s="2">
        <f>+N834-M834</f>
        <v>22980</v>
      </c>
    </row>
    <row r="835" spans="1:15" x14ac:dyDescent="0.2">
      <c r="A835" t="s">
        <v>88</v>
      </c>
      <c r="B835">
        <v>1</v>
      </c>
      <c r="C835" t="s">
        <v>1157</v>
      </c>
      <c r="D835" t="s">
        <v>89</v>
      </c>
      <c r="E835" t="s">
        <v>868</v>
      </c>
      <c r="F835" t="s">
        <v>1158</v>
      </c>
      <c r="G835">
        <v>114</v>
      </c>
      <c r="H835" t="s">
        <v>1229</v>
      </c>
      <c r="I835" t="s">
        <v>1230</v>
      </c>
      <c r="J835" t="s">
        <v>872</v>
      </c>
      <c r="K835" t="s">
        <v>872</v>
      </c>
      <c r="L835">
        <v>1</v>
      </c>
      <c r="M835" s="5">
        <v>84460</v>
      </c>
      <c r="N835" s="5">
        <f>+M835*1.3</f>
        <v>109798</v>
      </c>
      <c r="O835" s="2">
        <f>+N835-M835</f>
        <v>25338</v>
      </c>
    </row>
    <row r="836" spans="1:15" x14ac:dyDescent="0.2">
      <c r="A836" t="s">
        <v>28</v>
      </c>
      <c r="B836">
        <v>1</v>
      </c>
      <c r="C836" t="s">
        <v>1157</v>
      </c>
      <c r="D836" t="s">
        <v>1231</v>
      </c>
      <c r="E836" t="s">
        <v>868</v>
      </c>
      <c r="F836" t="s">
        <v>1158</v>
      </c>
      <c r="G836">
        <v>3</v>
      </c>
      <c r="H836" t="s">
        <v>1232</v>
      </c>
      <c r="I836" t="s">
        <v>1233</v>
      </c>
      <c r="J836" t="s">
        <v>872</v>
      </c>
      <c r="K836" t="s">
        <v>872</v>
      </c>
      <c r="L836">
        <v>1</v>
      </c>
      <c r="M836" s="5">
        <v>93677</v>
      </c>
      <c r="N836" s="5">
        <f>+M836*1.3</f>
        <v>121780.1</v>
      </c>
      <c r="O836" s="2">
        <f>+N836-M836</f>
        <v>28103.100000000006</v>
      </c>
    </row>
    <row r="837" spans="1:15" x14ac:dyDescent="0.2">
      <c r="A837" t="s">
        <v>88</v>
      </c>
      <c r="B837">
        <v>1</v>
      </c>
      <c r="C837" t="s">
        <v>1157</v>
      </c>
      <c r="D837" t="s">
        <v>89</v>
      </c>
      <c r="E837" t="s">
        <v>868</v>
      </c>
      <c r="F837" t="s">
        <v>1158</v>
      </c>
      <c r="G837">
        <v>158</v>
      </c>
      <c r="H837" t="s">
        <v>1234</v>
      </c>
      <c r="I837" t="s">
        <v>1235</v>
      </c>
      <c r="J837" t="s">
        <v>872</v>
      </c>
      <c r="K837" t="s">
        <v>872</v>
      </c>
      <c r="L837">
        <v>1</v>
      </c>
      <c r="M837" s="5">
        <v>226551</v>
      </c>
      <c r="N837" s="5">
        <f>+M837*1.3</f>
        <v>294516.3</v>
      </c>
      <c r="O837" s="2">
        <f>+N837-M837</f>
        <v>67965.299999999988</v>
      </c>
    </row>
    <row r="838" spans="1:15" x14ac:dyDescent="0.2">
      <c r="A838" t="s">
        <v>88</v>
      </c>
      <c r="B838">
        <v>1</v>
      </c>
      <c r="C838" t="s">
        <v>1157</v>
      </c>
      <c r="D838" t="s">
        <v>89</v>
      </c>
      <c r="E838" t="s">
        <v>868</v>
      </c>
      <c r="F838" t="s">
        <v>1158</v>
      </c>
      <c r="G838">
        <v>150</v>
      </c>
      <c r="H838" t="s">
        <v>1236</v>
      </c>
      <c r="I838" t="s">
        <v>1237</v>
      </c>
      <c r="J838" t="s">
        <v>872</v>
      </c>
      <c r="K838" t="s">
        <v>872</v>
      </c>
      <c r="L838">
        <v>1</v>
      </c>
      <c r="M838" s="5">
        <v>165757</v>
      </c>
      <c r="N838" s="5">
        <f>+M838*1.3</f>
        <v>215484.1</v>
      </c>
      <c r="O838" s="2">
        <f>+N838-M838</f>
        <v>49727.100000000006</v>
      </c>
    </row>
    <row r="839" spans="1:15" x14ac:dyDescent="0.2">
      <c r="A839" t="s">
        <v>88</v>
      </c>
      <c r="B839">
        <v>1</v>
      </c>
      <c r="C839" t="s">
        <v>1157</v>
      </c>
      <c r="D839" t="s">
        <v>89</v>
      </c>
      <c r="E839" t="s">
        <v>868</v>
      </c>
      <c r="F839" t="s">
        <v>1158</v>
      </c>
      <c r="G839">
        <v>118</v>
      </c>
      <c r="H839" t="s">
        <v>1238</v>
      </c>
      <c r="I839" t="s">
        <v>1239</v>
      </c>
      <c r="J839" t="s">
        <v>872</v>
      </c>
      <c r="K839" t="s">
        <v>872</v>
      </c>
      <c r="L839">
        <v>1</v>
      </c>
      <c r="M839" s="5">
        <v>94609</v>
      </c>
      <c r="N839" s="5">
        <f>+M839*1.3</f>
        <v>122991.7</v>
      </c>
      <c r="O839" s="2">
        <f>+N839-M839</f>
        <v>28382.699999999997</v>
      </c>
    </row>
    <row r="840" spans="1:15" x14ac:dyDescent="0.2">
      <c r="A840" t="s">
        <v>88</v>
      </c>
      <c r="B840">
        <v>1</v>
      </c>
      <c r="C840" t="s">
        <v>1157</v>
      </c>
      <c r="D840" t="s">
        <v>89</v>
      </c>
      <c r="E840" t="s">
        <v>868</v>
      </c>
      <c r="F840" t="s">
        <v>1158</v>
      </c>
      <c r="G840">
        <v>38</v>
      </c>
      <c r="H840" t="s">
        <v>1240</v>
      </c>
      <c r="I840" t="s">
        <v>1241</v>
      </c>
      <c r="J840" t="s">
        <v>872</v>
      </c>
      <c r="K840" t="s">
        <v>872</v>
      </c>
      <c r="L840">
        <v>1</v>
      </c>
      <c r="M840" s="5">
        <v>45310</v>
      </c>
      <c r="N840" s="5">
        <f>+M840*1.3</f>
        <v>58903</v>
      </c>
      <c r="O840" s="2">
        <f>+N840-M840</f>
        <v>13593</v>
      </c>
    </row>
    <row r="841" spans="1:15" x14ac:dyDescent="0.2">
      <c r="A841" t="s">
        <v>88</v>
      </c>
      <c r="B841">
        <v>1</v>
      </c>
      <c r="C841" t="s">
        <v>1157</v>
      </c>
      <c r="D841" t="s">
        <v>89</v>
      </c>
      <c r="E841" t="s">
        <v>868</v>
      </c>
      <c r="F841" t="s">
        <v>1158</v>
      </c>
      <c r="G841">
        <v>31</v>
      </c>
      <c r="H841" t="s">
        <v>1242</v>
      </c>
      <c r="I841" t="s">
        <v>1243</v>
      </c>
      <c r="J841" t="s">
        <v>872</v>
      </c>
      <c r="K841" t="s">
        <v>872</v>
      </c>
      <c r="L841">
        <v>1</v>
      </c>
      <c r="M841" s="5">
        <v>41553</v>
      </c>
      <c r="N841" s="5">
        <f>+M841*1.3</f>
        <v>54018.9</v>
      </c>
      <c r="O841" s="2">
        <f>+N841-M841</f>
        <v>12465.900000000001</v>
      </c>
    </row>
    <row r="842" spans="1:15" x14ac:dyDescent="0.2">
      <c r="A842" t="s">
        <v>88</v>
      </c>
      <c r="B842">
        <v>1</v>
      </c>
      <c r="C842" t="s">
        <v>1157</v>
      </c>
      <c r="D842" t="s">
        <v>89</v>
      </c>
      <c r="E842" t="s">
        <v>868</v>
      </c>
      <c r="F842" t="s">
        <v>1158</v>
      </c>
      <c r="G842">
        <v>41</v>
      </c>
      <c r="H842" t="s">
        <v>1244</v>
      </c>
      <c r="I842" t="s">
        <v>1245</v>
      </c>
      <c r="J842" t="s">
        <v>872</v>
      </c>
      <c r="K842" t="s">
        <v>872</v>
      </c>
      <c r="L842">
        <v>1</v>
      </c>
      <c r="M842" s="5">
        <v>47168</v>
      </c>
      <c r="N842" s="5">
        <f>+M842*1.3</f>
        <v>61318.400000000001</v>
      </c>
      <c r="O842" s="2">
        <f>+N842-M842</f>
        <v>14150.400000000001</v>
      </c>
    </row>
    <row r="843" spans="1:15" x14ac:dyDescent="0.2">
      <c r="A843" t="s">
        <v>13</v>
      </c>
      <c r="B843">
        <v>1</v>
      </c>
      <c r="C843" t="s">
        <v>14</v>
      </c>
      <c r="D843" t="s">
        <v>15</v>
      </c>
      <c r="E843" t="s">
        <v>868</v>
      </c>
      <c r="F843" t="s">
        <v>1246</v>
      </c>
      <c r="G843">
        <v>2</v>
      </c>
      <c r="H843" t="s">
        <v>1247</v>
      </c>
      <c r="I843" t="s">
        <v>1248</v>
      </c>
      <c r="J843" t="s">
        <v>135</v>
      </c>
      <c r="K843" t="s">
        <v>40</v>
      </c>
      <c r="L843">
        <v>1</v>
      </c>
      <c r="M843" s="5">
        <v>3116</v>
      </c>
      <c r="N843" s="5">
        <f>+M843*1.3</f>
        <v>4050.8</v>
      </c>
      <c r="O843" s="2">
        <f>+N843-M843</f>
        <v>934.80000000000018</v>
      </c>
    </row>
    <row r="844" spans="1:15" x14ac:dyDescent="0.2">
      <c r="A844" t="s">
        <v>21</v>
      </c>
      <c r="B844">
        <v>1</v>
      </c>
      <c r="C844" t="s">
        <v>14</v>
      </c>
      <c r="D844" t="s">
        <v>15</v>
      </c>
      <c r="E844" t="s">
        <v>868</v>
      </c>
      <c r="F844" t="s">
        <v>1246</v>
      </c>
      <c r="G844">
        <v>2</v>
      </c>
      <c r="H844" t="s">
        <v>1247</v>
      </c>
      <c r="I844" t="s">
        <v>1248</v>
      </c>
      <c r="J844" t="s">
        <v>135</v>
      </c>
      <c r="K844" t="s">
        <v>40</v>
      </c>
      <c r="L844">
        <v>1</v>
      </c>
      <c r="M844" s="5">
        <v>3116</v>
      </c>
      <c r="N844" s="5">
        <f>+M844*1.3</f>
        <v>4050.8</v>
      </c>
      <c r="O844" s="2">
        <f>+N844-M844</f>
        <v>934.80000000000018</v>
      </c>
    </row>
    <row r="845" spans="1:15" x14ac:dyDescent="0.2">
      <c r="A845" t="s">
        <v>13</v>
      </c>
      <c r="B845">
        <v>1</v>
      </c>
      <c r="C845" t="s">
        <v>14</v>
      </c>
      <c r="D845" t="s">
        <v>15</v>
      </c>
      <c r="E845" t="s">
        <v>868</v>
      </c>
      <c r="F845" t="s">
        <v>1246</v>
      </c>
      <c r="G845">
        <v>1</v>
      </c>
      <c r="H845" t="s">
        <v>1249</v>
      </c>
      <c r="I845" t="s">
        <v>1250</v>
      </c>
      <c r="J845" t="s">
        <v>39</v>
      </c>
      <c r="K845" t="s">
        <v>40</v>
      </c>
      <c r="L845">
        <v>1</v>
      </c>
      <c r="M845" s="5">
        <v>2994</v>
      </c>
      <c r="N845" s="5">
        <f>+M845*1.3</f>
        <v>3892.2000000000003</v>
      </c>
      <c r="O845" s="2">
        <f>+N845-M845</f>
        <v>898.20000000000027</v>
      </c>
    </row>
    <row r="846" spans="1:15" x14ac:dyDescent="0.2">
      <c r="A846" t="s">
        <v>21</v>
      </c>
      <c r="B846">
        <v>1</v>
      </c>
      <c r="C846" t="s">
        <v>14</v>
      </c>
      <c r="D846" t="s">
        <v>15</v>
      </c>
      <c r="E846" t="s">
        <v>868</v>
      </c>
      <c r="F846" t="s">
        <v>1246</v>
      </c>
      <c r="G846">
        <v>1</v>
      </c>
      <c r="H846" t="s">
        <v>1249</v>
      </c>
      <c r="I846" t="s">
        <v>1250</v>
      </c>
      <c r="J846" t="s">
        <v>39</v>
      </c>
      <c r="K846" t="s">
        <v>40</v>
      </c>
      <c r="L846">
        <v>1</v>
      </c>
      <c r="M846" s="5">
        <v>2994</v>
      </c>
      <c r="N846" s="5">
        <f>+M846*1.3</f>
        <v>3892.2000000000003</v>
      </c>
      <c r="O846" s="2">
        <f>+N846-M846</f>
        <v>898.20000000000027</v>
      </c>
    </row>
    <row r="847" spans="1:15" x14ac:dyDescent="0.2">
      <c r="A847" t="s">
        <v>13</v>
      </c>
      <c r="B847">
        <v>1</v>
      </c>
      <c r="C847" t="s">
        <v>14</v>
      </c>
      <c r="D847" t="s">
        <v>85</v>
      </c>
      <c r="E847" t="s">
        <v>868</v>
      </c>
      <c r="F847" t="s">
        <v>1246</v>
      </c>
      <c r="G847">
        <v>1</v>
      </c>
      <c r="H847" t="s">
        <v>1251</v>
      </c>
      <c r="I847" t="s">
        <v>1252</v>
      </c>
      <c r="J847" t="s">
        <v>39</v>
      </c>
      <c r="K847" t="s">
        <v>40</v>
      </c>
      <c r="L847">
        <v>1</v>
      </c>
      <c r="M847" s="5">
        <v>3385</v>
      </c>
      <c r="N847" s="5">
        <f>+M847*1.3</f>
        <v>4400.5</v>
      </c>
      <c r="O847" s="2">
        <f>+N847-M847</f>
        <v>1015.5</v>
      </c>
    </row>
    <row r="848" spans="1:15" x14ac:dyDescent="0.2">
      <c r="A848" t="s">
        <v>21</v>
      </c>
      <c r="B848">
        <v>1</v>
      </c>
      <c r="C848" t="s">
        <v>14</v>
      </c>
      <c r="D848" t="s">
        <v>85</v>
      </c>
      <c r="E848" t="s">
        <v>868</v>
      </c>
      <c r="F848" t="s">
        <v>1246</v>
      </c>
      <c r="G848">
        <v>1</v>
      </c>
      <c r="H848" t="s">
        <v>1251</v>
      </c>
      <c r="I848" t="s">
        <v>1252</v>
      </c>
      <c r="J848" t="s">
        <v>39</v>
      </c>
      <c r="K848" t="s">
        <v>40</v>
      </c>
      <c r="L848">
        <v>1</v>
      </c>
      <c r="M848" s="5">
        <v>3385</v>
      </c>
      <c r="N848" s="5">
        <f>+M848*1.3</f>
        <v>4400.5</v>
      </c>
      <c r="O848" s="2">
        <f>+N848-M848</f>
        <v>1015.5</v>
      </c>
    </row>
    <row r="849" spans="1:15" x14ac:dyDescent="0.2">
      <c r="A849" t="s">
        <v>13</v>
      </c>
      <c r="B849">
        <v>2</v>
      </c>
      <c r="C849" t="s">
        <v>14</v>
      </c>
      <c r="D849" t="s">
        <v>85</v>
      </c>
      <c r="E849" t="s">
        <v>868</v>
      </c>
      <c r="F849" t="s">
        <v>1246</v>
      </c>
      <c r="G849">
        <v>1</v>
      </c>
      <c r="H849" t="s">
        <v>1253</v>
      </c>
      <c r="I849" t="s">
        <v>1254</v>
      </c>
      <c r="J849" t="s">
        <v>1255</v>
      </c>
      <c r="K849" t="s">
        <v>27</v>
      </c>
      <c r="L849">
        <v>1</v>
      </c>
      <c r="M849" s="5">
        <v>3576</v>
      </c>
      <c r="N849" s="5">
        <f>+M849*1.3</f>
        <v>4648.8</v>
      </c>
      <c r="O849" s="2">
        <f>+N849-M849</f>
        <v>1072.8000000000002</v>
      </c>
    </row>
    <row r="850" spans="1:15" x14ac:dyDescent="0.2">
      <c r="A850" t="s">
        <v>21</v>
      </c>
      <c r="B850">
        <v>1</v>
      </c>
      <c r="C850" t="s">
        <v>14</v>
      </c>
      <c r="D850" t="s">
        <v>85</v>
      </c>
      <c r="E850" t="s">
        <v>868</v>
      </c>
      <c r="F850" t="s">
        <v>1246</v>
      </c>
      <c r="G850">
        <v>1</v>
      </c>
      <c r="H850" t="s">
        <v>1253</v>
      </c>
      <c r="I850" t="s">
        <v>1254</v>
      </c>
      <c r="J850" t="s">
        <v>1255</v>
      </c>
      <c r="K850" t="s">
        <v>27</v>
      </c>
      <c r="L850">
        <v>1</v>
      </c>
      <c r="M850" s="5">
        <v>3576</v>
      </c>
      <c r="N850" s="5">
        <f>+M850*1.3</f>
        <v>4648.8</v>
      </c>
      <c r="O850" s="2">
        <f>+N850-M850</f>
        <v>1072.8000000000002</v>
      </c>
    </row>
    <row r="851" spans="1:15" x14ac:dyDescent="0.2">
      <c r="A851" t="s">
        <v>45</v>
      </c>
      <c r="B851">
        <v>2</v>
      </c>
      <c r="C851" t="s">
        <v>14</v>
      </c>
      <c r="D851" t="s">
        <v>556</v>
      </c>
      <c r="E851" t="s">
        <v>868</v>
      </c>
      <c r="F851" t="s">
        <v>1246</v>
      </c>
      <c r="G851">
        <v>1</v>
      </c>
      <c r="H851" t="s">
        <v>1256</v>
      </c>
      <c r="I851" t="s">
        <v>1257</v>
      </c>
      <c r="J851" t="s">
        <v>1255</v>
      </c>
      <c r="K851" t="s">
        <v>27</v>
      </c>
      <c r="L851">
        <v>1</v>
      </c>
      <c r="M851" s="5">
        <v>4085</v>
      </c>
      <c r="N851" s="5">
        <f>+M851*1.3</f>
        <v>5310.5</v>
      </c>
      <c r="O851" s="2">
        <f>+N851-M851</f>
        <v>1225.5</v>
      </c>
    </row>
    <row r="852" spans="1:15" x14ac:dyDescent="0.2">
      <c r="A852" t="s">
        <v>35</v>
      </c>
      <c r="B852">
        <v>2</v>
      </c>
      <c r="C852" t="s">
        <v>14</v>
      </c>
      <c r="D852" t="s">
        <v>556</v>
      </c>
      <c r="E852" t="s">
        <v>868</v>
      </c>
      <c r="F852" t="s">
        <v>1246</v>
      </c>
      <c r="G852">
        <v>1</v>
      </c>
      <c r="H852" t="s">
        <v>1256</v>
      </c>
      <c r="I852" t="s">
        <v>1257</v>
      </c>
      <c r="J852" t="s">
        <v>1255</v>
      </c>
      <c r="K852" t="s">
        <v>27</v>
      </c>
      <c r="L852">
        <v>1</v>
      </c>
      <c r="M852" s="5">
        <v>4085</v>
      </c>
      <c r="N852" s="5">
        <f>+M852*1.3</f>
        <v>5310.5</v>
      </c>
      <c r="O852" s="2">
        <f>+N852-M852</f>
        <v>1225.5</v>
      </c>
    </row>
    <row r="853" spans="1:15" x14ac:dyDescent="0.2">
      <c r="A853" t="s">
        <v>28</v>
      </c>
      <c r="B853">
        <v>2</v>
      </c>
      <c r="C853" t="s">
        <v>14</v>
      </c>
      <c r="D853" t="s">
        <v>556</v>
      </c>
      <c r="E853" t="s">
        <v>868</v>
      </c>
      <c r="F853" t="s">
        <v>1246</v>
      </c>
      <c r="G853">
        <v>1</v>
      </c>
      <c r="H853" t="s">
        <v>1256</v>
      </c>
      <c r="I853" t="s">
        <v>1257</v>
      </c>
      <c r="J853" t="s">
        <v>1255</v>
      </c>
      <c r="K853" t="s">
        <v>27</v>
      </c>
      <c r="L853">
        <v>1</v>
      </c>
      <c r="M853" s="5">
        <v>4085</v>
      </c>
      <c r="N853" s="5">
        <f>+M853*1.3</f>
        <v>5310.5</v>
      </c>
      <c r="O853" s="2">
        <f>+N853-M853</f>
        <v>1225.5</v>
      </c>
    </row>
    <row r="854" spans="1:15" x14ac:dyDescent="0.2">
      <c r="A854" t="s">
        <v>45</v>
      </c>
      <c r="B854">
        <v>1</v>
      </c>
      <c r="C854" t="s">
        <v>14</v>
      </c>
      <c r="D854" t="s">
        <v>556</v>
      </c>
      <c r="E854" t="s">
        <v>868</v>
      </c>
      <c r="F854" t="s">
        <v>1246</v>
      </c>
      <c r="G854">
        <v>1</v>
      </c>
      <c r="H854" t="s">
        <v>1258</v>
      </c>
      <c r="I854" t="s">
        <v>1259</v>
      </c>
      <c r="J854" t="s">
        <v>188</v>
      </c>
      <c r="K854" t="s">
        <v>50</v>
      </c>
      <c r="L854">
        <v>1</v>
      </c>
      <c r="M854" s="5">
        <v>3655</v>
      </c>
      <c r="N854" s="5">
        <f>+M854*1.3</f>
        <v>4751.5</v>
      </c>
      <c r="O854" s="2">
        <f>+N854-M854</f>
        <v>1096.5</v>
      </c>
    </row>
    <row r="855" spans="1:15" x14ac:dyDescent="0.2">
      <c r="A855" t="s">
        <v>35</v>
      </c>
      <c r="B855">
        <v>1</v>
      </c>
      <c r="C855" t="s">
        <v>14</v>
      </c>
      <c r="D855" t="s">
        <v>556</v>
      </c>
      <c r="E855" t="s">
        <v>868</v>
      </c>
      <c r="F855" t="s">
        <v>1246</v>
      </c>
      <c r="G855">
        <v>1</v>
      </c>
      <c r="H855" t="s">
        <v>1258</v>
      </c>
      <c r="I855" t="s">
        <v>1259</v>
      </c>
      <c r="J855" t="s">
        <v>188</v>
      </c>
      <c r="K855" t="s">
        <v>50</v>
      </c>
      <c r="L855">
        <v>1</v>
      </c>
      <c r="M855" s="5">
        <v>3655</v>
      </c>
      <c r="N855" s="5">
        <f>+M855*1.3</f>
        <v>4751.5</v>
      </c>
      <c r="O855" s="2">
        <f>+N855-M855</f>
        <v>1096.5</v>
      </c>
    </row>
    <row r="856" spans="1:15" x14ac:dyDescent="0.2">
      <c r="A856" t="s">
        <v>28</v>
      </c>
      <c r="B856">
        <v>1</v>
      </c>
      <c r="C856" t="s">
        <v>14</v>
      </c>
      <c r="D856" t="s">
        <v>556</v>
      </c>
      <c r="E856" t="s">
        <v>868</v>
      </c>
      <c r="F856" t="s">
        <v>1246</v>
      </c>
      <c r="G856">
        <v>1</v>
      </c>
      <c r="H856" t="s">
        <v>1258</v>
      </c>
      <c r="I856" t="s">
        <v>1259</v>
      </c>
      <c r="J856" t="s">
        <v>188</v>
      </c>
      <c r="K856" t="s">
        <v>50</v>
      </c>
      <c r="L856">
        <v>1</v>
      </c>
      <c r="M856" s="5">
        <v>3655</v>
      </c>
      <c r="N856" s="5">
        <f>+M856*1.3</f>
        <v>4751.5</v>
      </c>
      <c r="O856" s="2">
        <f>+N856-M856</f>
        <v>1096.5</v>
      </c>
    </row>
    <row r="857" spans="1:15" x14ac:dyDescent="0.2">
      <c r="A857" t="s">
        <v>13</v>
      </c>
      <c r="B857">
        <v>1</v>
      </c>
      <c r="C857" t="s">
        <v>14</v>
      </c>
      <c r="D857" t="s">
        <v>15</v>
      </c>
      <c r="E857" t="s">
        <v>868</v>
      </c>
      <c r="F857" t="s">
        <v>1246</v>
      </c>
      <c r="G857">
        <v>3</v>
      </c>
      <c r="H857" t="s">
        <v>1260</v>
      </c>
      <c r="I857" t="s">
        <v>1261</v>
      </c>
      <c r="J857" t="s">
        <v>39</v>
      </c>
      <c r="K857" t="s">
        <v>40</v>
      </c>
      <c r="L857">
        <v>1</v>
      </c>
      <c r="M857" s="5">
        <v>3143</v>
      </c>
      <c r="N857" s="5">
        <f>+M857*1.3</f>
        <v>4085.9</v>
      </c>
      <c r="O857" s="2">
        <f>+N857-M857</f>
        <v>942.90000000000009</v>
      </c>
    </row>
    <row r="858" spans="1:15" x14ac:dyDescent="0.2">
      <c r="A858" t="s">
        <v>21</v>
      </c>
      <c r="B858">
        <v>1</v>
      </c>
      <c r="C858" t="s">
        <v>14</v>
      </c>
      <c r="D858" t="s">
        <v>15</v>
      </c>
      <c r="E858" t="s">
        <v>868</v>
      </c>
      <c r="F858" t="s">
        <v>1246</v>
      </c>
      <c r="G858">
        <v>3</v>
      </c>
      <c r="H858" t="s">
        <v>1260</v>
      </c>
      <c r="I858" t="s">
        <v>1261</v>
      </c>
      <c r="J858" t="s">
        <v>39</v>
      </c>
      <c r="K858" t="s">
        <v>40</v>
      </c>
      <c r="L858">
        <v>1</v>
      </c>
      <c r="M858" s="5">
        <v>3143</v>
      </c>
      <c r="N858" s="5">
        <f>+M858*1.3</f>
        <v>4085.9</v>
      </c>
      <c r="O858" s="2">
        <f>+N858-M858</f>
        <v>942.90000000000009</v>
      </c>
    </row>
    <row r="859" spans="1:15" x14ac:dyDescent="0.2">
      <c r="A859" t="s">
        <v>45</v>
      </c>
      <c r="B859">
        <v>3</v>
      </c>
      <c r="C859" t="s">
        <v>14</v>
      </c>
      <c r="D859" t="s">
        <v>556</v>
      </c>
      <c r="E859" t="s">
        <v>868</v>
      </c>
      <c r="F859" t="s">
        <v>1246</v>
      </c>
      <c r="G859">
        <v>1</v>
      </c>
      <c r="H859" t="s">
        <v>1262</v>
      </c>
      <c r="I859" t="s">
        <v>1263</v>
      </c>
      <c r="J859" t="s">
        <v>39</v>
      </c>
      <c r="K859" t="s">
        <v>40</v>
      </c>
      <c r="L859">
        <v>1</v>
      </c>
      <c r="M859" s="5">
        <v>3746</v>
      </c>
      <c r="N859" s="5">
        <f>+M859*1.3</f>
        <v>4869.8</v>
      </c>
      <c r="O859" s="2">
        <f>+N859-M859</f>
        <v>1123.8000000000002</v>
      </c>
    </row>
    <row r="860" spans="1:15" x14ac:dyDescent="0.2">
      <c r="A860" t="s">
        <v>35</v>
      </c>
      <c r="B860">
        <v>3</v>
      </c>
      <c r="C860" t="s">
        <v>14</v>
      </c>
      <c r="D860" t="s">
        <v>556</v>
      </c>
      <c r="E860" t="s">
        <v>868</v>
      </c>
      <c r="F860" t="s">
        <v>1246</v>
      </c>
      <c r="G860">
        <v>1</v>
      </c>
      <c r="H860" t="s">
        <v>1262</v>
      </c>
      <c r="I860" t="s">
        <v>1263</v>
      </c>
      <c r="J860" t="s">
        <v>39</v>
      </c>
      <c r="K860" t="s">
        <v>40</v>
      </c>
      <c r="L860">
        <v>1</v>
      </c>
      <c r="M860" s="5">
        <v>3746</v>
      </c>
      <c r="N860" s="5">
        <f>+M860*1.3</f>
        <v>4869.8</v>
      </c>
      <c r="O860" s="2">
        <f>+N860-M860</f>
        <v>1123.8000000000002</v>
      </c>
    </row>
    <row r="861" spans="1:15" x14ac:dyDescent="0.2">
      <c r="A861" t="s">
        <v>28</v>
      </c>
      <c r="B861">
        <v>3</v>
      </c>
      <c r="C861" t="s">
        <v>14</v>
      </c>
      <c r="D861" t="s">
        <v>556</v>
      </c>
      <c r="E861" t="s">
        <v>868</v>
      </c>
      <c r="F861" t="s">
        <v>1246</v>
      </c>
      <c r="G861">
        <v>1</v>
      </c>
      <c r="H861" t="s">
        <v>1262</v>
      </c>
      <c r="I861" t="s">
        <v>1263</v>
      </c>
      <c r="J861" t="s">
        <v>39</v>
      </c>
      <c r="K861" t="s">
        <v>40</v>
      </c>
      <c r="L861">
        <v>1</v>
      </c>
      <c r="M861" s="5">
        <v>3746</v>
      </c>
      <c r="N861" s="5">
        <f>+M861*1.3</f>
        <v>4869.8</v>
      </c>
      <c r="O861" s="2">
        <f>+N861-M861</f>
        <v>1123.8000000000002</v>
      </c>
    </row>
    <row r="862" spans="1:15" x14ac:dyDescent="0.2">
      <c r="A862" t="s">
        <v>35</v>
      </c>
      <c r="B862">
        <v>3</v>
      </c>
      <c r="C862" t="s">
        <v>14</v>
      </c>
      <c r="D862" t="s">
        <v>36</v>
      </c>
      <c r="E862" t="s">
        <v>868</v>
      </c>
      <c r="F862" t="s">
        <v>1246</v>
      </c>
      <c r="G862">
        <v>3</v>
      </c>
      <c r="H862" t="s">
        <v>1264</v>
      </c>
      <c r="I862" t="s">
        <v>1265</v>
      </c>
      <c r="J862" t="s">
        <v>39</v>
      </c>
      <c r="K862" t="s">
        <v>40</v>
      </c>
      <c r="L862">
        <v>1</v>
      </c>
      <c r="M862" s="5">
        <v>2878</v>
      </c>
      <c r="N862" s="5">
        <f>+M862*1.3</f>
        <v>3741.4</v>
      </c>
      <c r="O862" s="2">
        <f>+N862-M862</f>
        <v>863.40000000000009</v>
      </c>
    </row>
    <row r="863" spans="1:15" x14ac:dyDescent="0.2">
      <c r="A863" t="s">
        <v>41</v>
      </c>
      <c r="B863">
        <v>3</v>
      </c>
      <c r="C863" t="s">
        <v>14</v>
      </c>
      <c r="D863" t="s">
        <v>36</v>
      </c>
      <c r="E863" t="s">
        <v>868</v>
      </c>
      <c r="F863" t="s">
        <v>1246</v>
      </c>
      <c r="G863">
        <v>3</v>
      </c>
      <c r="H863" t="s">
        <v>1264</v>
      </c>
      <c r="I863" t="s">
        <v>1265</v>
      </c>
      <c r="J863" t="s">
        <v>39</v>
      </c>
      <c r="K863" t="s">
        <v>40</v>
      </c>
      <c r="L863">
        <v>1</v>
      </c>
      <c r="M863" s="5">
        <v>2878</v>
      </c>
      <c r="N863" s="5">
        <f>+M863*1.3</f>
        <v>3741.4</v>
      </c>
      <c r="O863" s="2">
        <f>+N863-M863</f>
        <v>863.40000000000009</v>
      </c>
    </row>
    <row r="864" spans="1:15" x14ac:dyDescent="0.2">
      <c r="A864" t="s">
        <v>21</v>
      </c>
      <c r="B864">
        <v>1</v>
      </c>
      <c r="C864" t="s">
        <v>14</v>
      </c>
      <c r="D864" t="s">
        <v>36</v>
      </c>
      <c r="E864" t="s">
        <v>868</v>
      </c>
      <c r="F864" t="s">
        <v>1246</v>
      </c>
      <c r="G864">
        <v>3</v>
      </c>
      <c r="H864" t="s">
        <v>1264</v>
      </c>
      <c r="I864" t="s">
        <v>1265</v>
      </c>
      <c r="J864" t="s">
        <v>39</v>
      </c>
      <c r="K864" t="s">
        <v>40</v>
      </c>
      <c r="L864">
        <v>1</v>
      </c>
      <c r="M864" s="5">
        <v>2878</v>
      </c>
      <c r="N864" s="5">
        <f>+M864*1.3</f>
        <v>3741.4</v>
      </c>
      <c r="O864" s="2">
        <f>+N864-M864</f>
        <v>863.40000000000009</v>
      </c>
    </row>
    <row r="865" spans="1:15" x14ac:dyDescent="0.2">
      <c r="A865" t="s">
        <v>28</v>
      </c>
      <c r="B865">
        <v>3</v>
      </c>
      <c r="C865" t="s">
        <v>14</v>
      </c>
      <c r="D865" t="s">
        <v>36</v>
      </c>
      <c r="E865" t="s">
        <v>868</v>
      </c>
      <c r="F865" t="s">
        <v>1246</v>
      </c>
      <c r="G865">
        <v>3</v>
      </c>
      <c r="H865" t="s">
        <v>1264</v>
      </c>
      <c r="I865" t="s">
        <v>1265</v>
      </c>
      <c r="J865" t="s">
        <v>39</v>
      </c>
      <c r="K865" t="s">
        <v>40</v>
      </c>
      <c r="L865">
        <v>1</v>
      </c>
      <c r="M865" s="5">
        <v>2878</v>
      </c>
      <c r="N865" s="5">
        <f>+M865*1.3</f>
        <v>3741.4</v>
      </c>
      <c r="O865" s="2">
        <f>+N865-M865</f>
        <v>863.40000000000009</v>
      </c>
    </row>
    <row r="866" spans="1:15" x14ac:dyDescent="0.2">
      <c r="A866" t="s">
        <v>35</v>
      </c>
      <c r="B866">
        <v>3</v>
      </c>
      <c r="C866" t="s">
        <v>14</v>
      </c>
      <c r="D866" t="s">
        <v>36</v>
      </c>
      <c r="E866" t="s">
        <v>868</v>
      </c>
      <c r="F866" t="s">
        <v>1246</v>
      </c>
      <c r="G866">
        <v>5</v>
      </c>
      <c r="H866" t="s">
        <v>1266</v>
      </c>
      <c r="I866" t="s">
        <v>1267</v>
      </c>
      <c r="J866" t="s">
        <v>39</v>
      </c>
      <c r="K866" t="s">
        <v>40</v>
      </c>
      <c r="L866">
        <v>1</v>
      </c>
      <c r="M866" s="5">
        <v>3108</v>
      </c>
      <c r="N866" s="5">
        <f>+M866*1.3</f>
        <v>4040.4</v>
      </c>
      <c r="O866" s="2">
        <f>+N866-M866</f>
        <v>932.40000000000009</v>
      </c>
    </row>
    <row r="867" spans="1:15" x14ac:dyDescent="0.2">
      <c r="A867" t="s">
        <v>41</v>
      </c>
      <c r="B867">
        <v>3</v>
      </c>
      <c r="C867" t="s">
        <v>14</v>
      </c>
      <c r="D867" t="s">
        <v>36</v>
      </c>
      <c r="E867" t="s">
        <v>868</v>
      </c>
      <c r="F867" t="s">
        <v>1246</v>
      </c>
      <c r="G867">
        <v>5</v>
      </c>
      <c r="H867" t="s">
        <v>1266</v>
      </c>
      <c r="I867" t="s">
        <v>1267</v>
      </c>
      <c r="J867" t="s">
        <v>39</v>
      </c>
      <c r="K867" t="s">
        <v>40</v>
      </c>
      <c r="L867">
        <v>1</v>
      </c>
      <c r="M867" s="5">
        <v>3108</v>
      </c>
      <c r="N867" s="5">
        <f>+M867*1.3</f>
        <v>4040.4</v>
      </c>
      <c r="O867" s="2">
        <f>+N867-M867</f>
        <v>932.40000000000009</v>
      </c>
    </row>
    <row r="868" spans="1:15" x14ac:dyDescent="0.2">
      <c r="A868" t="s">
        <v>21</v>
      </c>
      <c r="B868">
        <v>1</v>
      </c>
      <c r="C868" t="s">
        <v>14</v>
      </c>
      <c r="D868" t="s">
        <v>36</v>
      </c>
      <c r="E868" t="s">
        <v>868</v>
      </c>
      <c r="F868" t="s">
        <v>1246</v>
      </c>
      <c r="G868">
        <v>5</v>
      </c>
      <c r="H868" t="s">
        <v>1266</v>
      </c>
      <c r="I868" t="s">
        <v>1267</v>
      </c>
      <c r="J868" t="s">
        <v>39</v>
      </c>
      <c r="K868" t="s">
        <v>40</v>
      </c>
      <c r="L868">
        <v>1</v>
      </c>
      <c r="M868" s="5">
        <v>3108</v>
      </c>
      <c r="N868" s="5">
        <f>+M868*1.3</f>
        <v>4040.4</v>
      </c>
      <c r="O868" s="2">
        <f>+N868-M868</f>
        <v>932.40000000000009</v>
      </c>
    </row>
    <row r="869" spans="1:15" x14ac:dyDescent="0.2">
      <c r="A869" t="s">
        <v>28</v>
      </c>
      <c r="B869">
        <v>3</v>
      </c>
      <c r="C869" t="s">
        <v>14</v>
      </c>
      <c r="D869" t="s">
        <v>36</v>
      </c>
      <c r="E869" t="s">
        <v>868</v>
      </c>
      <c r="F869" t="s">
        <v>1246</v>
      </c>
      <c r="G869">
        <v>5</v>
      </c>
      <c r="H869" t="s">
        <v>1266</v>
      </c>
      <c r="I869" t="s">
        <v>1267</v>
      </c>
      <c r="J869" t="s">
        <v>39</v>
      </c>
      <c r="K869" t="s">
        <v>40</v>
      </c>
      <c r="L869">
        <v>1</v>
      </c>
      <c r="M869" s="5">
        <v>3108</v>
      </c>
      <c r="N869" s="5">
        <f>+M869*1.3</f>
        <v>4040.4</v>
      </c>
      <c r="O869" s="2">
        <f>+N869-M869</f>
        <v>932.40000000000009</v>
      </c>
    </row>
    <row r="870" spans="1:15" x14ac:dyDescent="0.2">
      <c r="A870" t="s">
        <v>35</v>
      </c>
      <c r="B870">
        <v>3</v>
      </c>
      <c r="C870" t="s">
        <v>14</v>
      </c>
      <c r="D870" t="s">
        <v>36</v>
      </c>
      <c r="E870" t="s">
        <v>868</v>
      </c>
      <c r="F870" t="s">
        <v>1246</v>
      </c>
      <c r="G870">
        <v>1</v>
      </c>
      <c r="H870" t="s">
        <v>1268</v>
      </c>
      <c r="I870" t="s">
        <v>1269</v>
      </c>
      <c r="J870" t="s">
        <v>39</v>
      </c>
      <c r="K870" t="s">
        <v>40</v>
      </c>
      <c r="L870">
        <v>1</v>
      </c>
      <c r="M870" s="5">
        <v>2529</v>
      </c>
      <c r="N870" s="5">
        <f>+M870*1.3</f>
        <v>3287.7000000000003</v>
      </c>
      <c r="O870" s="2">
        <f>+N870-M870</f>
        <v>758.70000000000027</v>
      </c>
    </row>
    <row r="871" spans="1:15" x14ac:dyDescent="0.2">
      <c r="A871" t="s">
        <v>41</v>
      </c>
      <c r="B871">
        <v>3</v>
      </c>
      <c r="C871" t="s">
        <v>14</v>
      </c>
      <c r="D871" t="s">
        <v>36</v>
      </c>
      <c r="E871" t="s">
        <v>868</v>
      </c>
      <c r="F871" t="s">
        <v>1246</v>
      </c>
      <c r="G871">
        <v>1</v>
      </c>
      <c r="H871" t="s">
        <v>1268</v>
      </c>
      <c r="I871" t="s">
        <v>1269</v>
      </c>
      <c r="J871" t="s">
        <v>39</v>
      </c>
      <c r="K871" t="s">
        <v>40</v>
      </c>
      <c r="L871">
        <v>1</v>
      </c>
      <c r="M871" s="5">
        <v>2529</v>
      </c>
      <c r="N871" s="5">
        <f>+M871*1.3</f>
        <v>3287.7000000000003</v>
      </c>
      <c r="O871" s="2">
        <f>+N871-M871</f>
        <v>758.70000000000027</v>
      </c>
    </row>
    <row r="872" spans="1:15" x14ac:dyDescent="0.2">
      <c r="A872" t="s">
        <v>21</v>
      </c>
      <c r="B872">
        <v>1</v>
      </c>
      <c r="C872" t="s">
        <v>14</v>
      </c>
      <c r="D872" t="s">
        <v>36</v>
      </c>
      <c r="E872" t="s">
        <v>868</v>
      </c>
      <c r="F872" t="s">
        <v>1246</v>
      </c>
      <c r="G872">
        <v>1</v>
      </c>
      <c r="H872" t="s">
        <v>1268</v>
      </c>
      <c r="I872" t="s">
        <v>1269</v>
      </c>
      <c r="J872" t="s">
        <v>39</v>
      </c>
      <c r="K872" t="s">
        <v>40</v>
      </c>
      <c r="L872">
        <v>1</v>
      </c>
      <c r="M872" s="5">
        <v>2529</v>
      </c>
      <c r="N872" s="5">
        <f>+M872*1.3</f>
        <v>3287.7000000000003</v>
      </c>
      <c r="O872" s="2">
        <f>+N872-M872</f>
        <v>758.70000000000027</v>
      </c>
    </row>
    <row r="873" spans="1:15" x14ac:dyDescent="0.2">
      <c r="A873" t="s">
        <v>28</v>
      </c>
      <c r="B873">
        <v>3</v>
      </c>
      <c r="C873" t="s">
        <v>14</v>
      </c>
      <c r="D873" t="s">
        <v>36</v>
      </c>
      <c r="E873" t="s">
        <v>868</v>
      </c>
      <c r="F873" t="s">
        <v>1246</v>
      </c>
      <c r="G873">
        <v>1</v>
      </c>
      <c r="H873" t="s">
        <v>1268</v>
      </c>
      <c r="I873" t="s">
        <v>1269</v>
      </c>
      <c r="J873" t="s">
        <v>39</v>
      </c>
      <c r="K873" t="s">
        <v>40</v>
      </c>
      <c r="L873">
        <v>1</v>
      </c>
      <c r="M873" s="5">
        <v>2529</v>
      </c>
      <c r="N873" s="5">
        <f>+M873*1.3</f>
        <v>3287.7000000000003</v>
      </c>
      <c r="O873" s="2">
        <f>+N873-M873</f>
        <v>758.70000000000027</v>
      </c>
    </row>
    <row r="874" spans="1:15" x14ac:dyDescent="0.2">
      <c r="A874" t="s">
        <v>35</v>
      </c>
      <c r="B874">
        <v>3</v>
      </c>
      <c r="C874" t="s">
        <v>14</v>
      </c>
      <c r="D874" t="s">
        <v>36</v>
      </c>
      <c r="E874" t="s">
        <v>868</v>
      </c>
      <c r="F874" t="s">
        <v>1246</v>
      </c>
      <c r="G874">
        <v>2</v>
      </c>
      <c r="H874" t="s">
        <v>1270</v>
      </c>
      <c r="I874" t="s">
        <v>1271</v>
      </c>
      <c r="J874" t="s">
        <v>39</v>
      </c>
      <c r="K874" t="s">
        <v>40</v>
      </c>
      <c r="L874">
        <v>1</v>
      </c>
      <c r="M874" s="5">
        <v>2759</v>
      </c>
      <c r="N874" s="5">
        <f>+M874*1.3</f>
        <v>3586.7000000000003</v>
      </c>
      <c r="O874" s="2">
        <f>+N874-M874</f>
        <v>827.70000000000027</v>
      </c>
    </row>
    <row r="875" spans="1:15" x14ac:dyDescent="0.2">
      <c r="A875" t="s">
        <v>41</v>
      </c>
      <c r="B875">
        <v>3</v>
      </c>
      <c r="C875" t="s">
        <v>14</v>
      </c>
      <c r="D875" t="s">
        <v>36</v>
      </c>
      <c r="E875" t="s">
        <v>868</v>
      </c>
      <c r="F875" t="s">
        <v>1246</v>
      </c>
      <c r="G875">
        <v>2</v>
      </c>
      <c r="H875" t="s">
        <v>1270</v>
      </c>
      <c r="I875" t="s">
        <v>1271</v>
      </c>
      <c r="J875" t="s">
        <v>39</v>
      </c>
      <c r="K875" t="s">
        <v>40</v>
      </c>
      <c r="L875">
        <v>1</v>
      </c>
      <c r="M875" s="5">
        <v>2759</v>
      </c>
      <c r="N875" s="5">
        <f>+M875*1.3</f>
        <v>3586.7000000000003</v>
      </c>
      <c r="O875" s="2">
        <f>+N875-M875</f>
        <v>827.70000000000027</v>
      </c>
    </row>
    <row r="876" spans="1:15" x14ac:dyDescent="0.2">
      <c r="A876" t="s">
        <v>21</v>
      </c>
      <c r="B876">
        <v>1</v>
      </c>
      <c r="C876" t="s">
        <v>14</v>
      </c>
      <c r="D876" t="s">
        <v>36</v>
      </c>
      <c r="E876" t="s">
        <v>868</v>
      </c>
      <c r="F876" t="s">
        <v>1246</v>
      </c>
      <c r="G876">
        <v>2</v>
      </c>
      <c r="H876" t="s">
        <v>1270</v>
      </c>
      <c r="I876" t="s">
        <v>1271</v>
      </c>
      <c r="J876" t="s">
        <v>39</v>
      </c>
      <c r="K876" t="s">
        <v>40</v>
      </c>
      <c r="L876">
        <v>1</v>
      </c>
      <c r="M876" s="5">
        <v>2759</v>
      </c>
      <c r="N876" s="5">
        <f>+M876*1.3</f>
        <v>3586.7000000000003</v>
      </c>
      <c r="O876" s="2">
        <f>+N876-M876</f>
        <v>827.70000000000027</v>
      </c>
    </row>
    <row r="877" spans="1:15" x14ac:dyDescent="0.2">
      <c r="A877" t="s">
        <v>28</v>
      </c>
      <c r="B877">
        <v>3</v>
      </c>
      <c r="C877" t="s">
        <v>14</v>
      </c>
      <c r="D877" t="s">
        <v>36</v>
      </c>
      <c r="E877" t="s">
        <v>868</v>
      </c>
      <c r="F877" t="s">
        <v>1246</v>
      </c>
      <c r="G877">
        <v>2</v>
      </c>
      <c r="H877" t="s">
        <v>1270</v>
      </c>
      <c r="I877" t="s">
        <v>1271</v>
      </c>
      <c r="J877" t="s">
        <v>39</v>
      </c>
      <c r="K877" t="s">
        <v>40</v>
      </c>
      <c r="L877">
        <v>1</v>
      </c>
      <c r="M877" s="5">
        <v>2759</v>
      </c>
      <c r="N877" s="5">
        <f>+M877*1.3</f>
        <v>3586.7000000000003</v>
      </c>
      <c r="O877" s="2">
        <f>+N877-M877</f>
        <v>827.70000000000027</v>
      </c>
    </row>
    <row r="878" spans="1:15" x14ac:dyDescent="0.2">
      <c r="A878" t="s">
        <v>35</v>
      </c>
      <c r="B878">
        <v>1</v>
      </c>
      <c r="C878" t="s">
        <v>14</v>
      </c>
      <c r="D878" t="s">
        <v>36</v>
      </c>
      <c r="E878" t="s">
        <v>868</v>
      </c>
      <c r="F878" t="s">
        <v>1246</v>
      </c>
      <c r="G878">
        <v>1</v>
      </c>
      <c r="H878" t="s">
        <v>1272</v>
      </c>
      <c r="I878" t="s">
        <v>1273</v>
      </c>
      <c r="J878" t="s">
        <v>188</v>
      </c>
      <c r="K878" t="s">
        <v>50</v>
      </c>
      <c r="L878">
        <v>1</v>
      </c>
      <c r="M878" s="5">
        <v>43088</v>
      </c>
      <c r="N878" s="5">
        <f>+M878*1.3</f>
        <v>56014.400000000001</v>
      </c>
      <c r="O878" s="2">
        <f>+N878-M878</f>
        <v>12926.400000000001</v>
      </c>
    </row>
    <row r="879" spans="1:15" x14ac:dyDescent="0.2">
      <c r="A879" t="s">
        <v>41</v>
      </c>
      <c r="B879">
        <v>1</v>
      </c>
      <c r="C879" t="s">
        <v>14</v>
      </c>
      <c r="D879" t="s">
        <v>36</v>
      </c>
      <c r="E879" t="s">
        <v>868</v>
      </c>
      <c r="F879" t="s">
        <v>1246</v>
      </c>
      <c r="G879">
        <v>1</v>
      </c>
      <c r="H879" t="s">
        <v>1272</v>
      </c>
      <c r="I879" t="s">
        <v>1273</v>
      </c>
      <c r="J879" t="s">
        <v>188</v>
      </c>
      <c r="K879" t="s">
        <v>50</v>
      </c>
      <c r="L879">
        <v>1</v>
      </c>
      <c r="M879" s="5">
        <v>43088</v>
      </c>
      <c r="N879" s="5">
        <f>+M879*1.3</f>
        <v>56014.400000000001</v>
      </c>
      <c r="O879" s="2">
        <f>+N879-M879</f>
        <v>12926.400000000001</v>
      </c>
    </row>
    <row r="880" spans="1:15" x14ac:dyDescent="0.2">
      <c r="A880" t="s">
        <v>21</v>
      </c>
      <c r="B880">
        <v>2</v>
      </c>
      <c r="C880" t="s">
        <v>14</v>
      </c>
      <c r="D880" t="s">
        <v>36</v>
      </c>
      <c r="E880" t="s">
        <v>868</v>
      </c>
      <c r="F880" t="s">
        <v>1246</v>
      </c>
      <c r="G880">
        <v>1</v>
      </c>
      <c r="H880" t="s">
        <v>1272</v>
      </c>
      <c r="I880" t="s">
        <v>1273</v>
      </c>
      <c r="J880" t="s">
        <v>188</v>
      </c>
      <c r="K880" t="s">
        <v>50</v>
      </c>
      <c r="L880">
        <v>1</v>
      </c>
      <c r="M880" s="5">
        <v>43088</v>
      </c>
      <c r="N880" s="5">
        <f>+M880*1.3</f>
        <v>56014.400000000001</v>
      </c>
      <c r="O880" s="2">
        <f>+N880-M880</f>
        <v>12926.400000000001</v>
      </c>
    </row>
    <row r="881" spans="1:15" x14ac:dyDescent="0.2">
      <c r="A881" t="s">
        <v>28</v>
      </c>
      <c r="B881">
        <v>1</v>
      </c>
      <c r="C881" t="s">
        <v>14</v>
      </c>
      <c r="D881" t="s">
        <v>36</v>
      </c>
      <c r="E881" t="s">
        <v>868</v>
      </c>
      <c r="F881" t="s">
        <v>1246</v>
      </c>
      <c r="G881">
        <v>1</v>
      </c>
      <c r="H881" t="s">
        <v>1272</v>
      </c>
      <c r="I881" t="s">
        <v>1273</v>
      </c>
      <c r="J881" t="s">
        <v>188</v>
      </c>
      <c r="K881" t="s">
        <v>50</v>
      </c>
      <c r="L881">
        <v>1</v>
      </c>
      <c r="M881" s="5">
        <v>43088</v>
      </c>
      <c r="N881" s="5">
        <f>+M881*1.3</f>
        <v>56014.400000000001</v>
      </c>
      <c r="O881" s="2">
        <f>+N881-M881</f>
        <v>12926.400000000001</v>
      </c>
    </row>
    <row r="882" spans="1:15" x14ac:dyDescent="0.2">
      <c r="A882" t="s">
        <v>35</v>
      </c>
      <c r="B882">
        <v>1</v>
      </c>
      <c r="C882" t="s">
        <v>14</v>
      </c>
      <c r="D882" t="s">
        <v>36</v>
      </c>
      <c r="E882" t="s">
        <v>868</v>
      </c>
      <c r="F882" t="s">
        <v>1246</v>
      </c>
      <c r="G882">
        <v>1</v>
      </c>
      <c r="H882" t="s">
        <v>1274</v>
      </c>
      <c r="I882" t="s">
        <v>1275</v>
      </c>
      <c r="J882" t="s">
        <v>1276</v>
      </c>
      <c r="K882" t="s">
        <v>57</v>
      </c>
      <c r="L882">
        <v>1</v>
      </c>
      <c r="M882" s="5">
        <v>425726</v>
      </c>
      <c r="N882" s="5">
        <f>+M882*1.3</f>
        <v>553443.80000000005</v>
      </c>
      <c r="O882" s="2">
        <f>+N882-M882</f>
        <v>127717.80000000005</v>
      </c>
    </row>
    <row r="883" spans="1:15" x14ac:dyDescent="0.2">
      <c r="A883" t="s">
        <v>41</v>
      </c>
      <c r="B883">
        <v>1</v>
      </c>
      <c r="C883" t="s">
        <v>14</v>
      </c>
      <c r="D883" t="s">
        <v>36</v>
      </c>
      <c r="E883" t="s">
        <v>868</v>
      </c>
      <c r="F883" t="s">
        <v>1246</v>
      </c>
      <c r="G883">
        <v>1</v>
      </c>
      <c r="H883" t="s">
        <v>1274</v>
      </c>
      <c r="I883" t="s">
        <v>1275</v>
      </c>
      <c r="J883" t="s">
        <v>1276</v>
      </c>
      <c r="K883" t="s">
        <v>57</v>
      </c>
      <c r="L883">
        <v>1</v>
      </c>
      <c r="M883" s="5">
        <v>425726</v>
      </c>
      <c r="N883" s="5">
        <f>+M883*1.3</f>
        <v>553443.80000000005</v>
      </c>
      <c r="O883" s="2">
        <f>+N883-M883</f>
        <v>127717.80000000005</v>
      </c>
    </row>
    <row r="884" spans="1:15" x14ac:dyDescent="0.2">
      <c r="A884" t="s">
        <v>21</v>
      </c>
      <c r="B884">
        <v>3</v>
      </c>
      <c r="C884" t="s">
        <v>14</v>
      </c>
      <c r="D884" t="s">
        <v>36</v>
      </c>
      <c r="E884" t="s">
        <v>868</v>
      </c>
      <c r="F884" t="s">
        <v>1246</v>
      </c>
      <c r="G884">
        <v>1</v>
      </c>
      <c r="H884" t="s">
        <v>1274</v>
      </c>
      <c r="I884" t="s">
        <v>1275</v>
      </c>
      <c r="J884" t="s">
        <v>1276</v>
      </c>
      <c r="K884" t="s">
        <v>57</v>
      </c>
      <c r="L884">
        <v>1</v>
      </c>
      <c r="M884" s="5">
        <v>425726</v>
      </c>
      <c r="N884" s="5">
        <f>+M884*1.3</f>
        <v>553443.80000000005</v>
      </c>
      <c r="O884" s="2">
        <f>+N884-M884</f>
        <v>127717.80000000005</v>
      </c>
    </row>
    <row r="885" spans="1:15" x14ac:dyDescent="0.2">
      <c r="A885" t="s">
        <v>28</v>
      </c>
      <c r="B885">
        <v>1</v>
      </c>
      <c r="C885" t="s">
        <v>14</v>
      </c>
      <c r="D885" t="s">
        <v>36</v>
      </c>
      <c r="E885" t="s">
        <v>868</v>
      </c>
      <c r="F885" t="s">
        <v>1246</v>
      </c>
      <c r="G885">
        <v>1</v>
      </c>
      <c r="H885" t="s">
        <v>1274</v>
      </c>
      <c r="I885" t="s">
        <v>1275</v>
      </c>
      <c r="J885" t="s">
        <v>1276</v>
      </c>
      <c r="K885" t="s">
        <v>57</v>
      </c>
      <c r="L885">
        <v>1</v>
      </c>
      <c r="M885" s="5">
        <v>425726</v>
      </c>
      <c r="N885" s="5">
        <f>+M885*1.3</f>
        <v>553443.80000000005</v>
      </c>
      <c r="O885" s="2">
        <f>+N885-M885</f>
        <v>127717.80000000005</v>
      </c>
    </row>
    <row r="886" spans="1:15" x14ac:dyDescent="0.2">
      <c r="A886" t="s">
        <v>88</v>
      </c>
      <c r="B886">
        <v>1</v>
      </c>
      <c r="C886" t="s">
        <v>14</v>
      </c>
      <c r="D886" t="s">
        <v>89</v>
      </c>
      <c r="E886" t="s">
        <v>868</v>
      </c>
      <c r="F886" t="s">
        <v>1246</v>
      </c>
      <c r="G886">
        <v>95</v>
      </c>
      <c r="H886" t="s">
        <v>1277</v>
      </c>
      <c r="I886" t="s">
        <v>1278</v>
      </c>
      <c r="J886" t="s">
        <v>39</v>
      </c>
      <c r="K886" t="s">
        <v>40</v>
      </c>
      <c r="L886">
        <v>1</v>
      </c>
      <c r="M886" s="5">
        <v>5223</v>
      </c>
      <c r="N886" s="5">
        <f>+M886*1.3</f>
        <v>6789.9000000000005</v>
      </c>
      <c r="O886" s="2">
        <f>+N886-M886</f>
        <v>1566.9000000000005</v>
      </c>
    </row>
    <row r="887" spans="1:15" x14ac:dyDescent="0.2">
      <c r="A887" t="s">
        <v>13</v>
      </c>
      <c r="B887">
        <v>1</v>
      </c>
      <c r="C887" t="s">
        <v>14</v>
      </c>
      <c r="D887" t="s">
        <v>29</v>
      </c>
      <c r="E887" t="s">
        <v>868</v>
      </c>
      <c r="F887" t="s">
        <v>1246</v>
      </c>
      <c r="G887">
        <v>1</v>
      </c>
      <c r="H887" t="s">
        <v>1279</v>
      </c>
      <c r="I887" t="s">
        <v>1280</v>
      </c>
      <c r="J887" t="s">
        <v>39</v>
      </c>
      <c r="K887" t="s">
        <v>40</v>
      </c>
      <c r="L887">
        <v>1</v>
      </c>
      <c r="M887" s="5">
        <v>2603</v>
      </c>
      <c r="N887" s="5">
        <f>+M887*1.3</f>
        <v>3383.9</v>
      </c>
      <c r="O887" s="2">
        <f>+N887-M887</f>
        <v>780.90000000000009</v>
      </c>
    </row>
    <row r="888" spans="1:15" x14ac:dyDescent="0.2">
      <c r="A888" t="s">
        <v>21</v>
      </c>
      <c r="B888">
        <v>1</v>
      </c>
      <c r="C888" t="s">
        <v>14</v>
      </c>
      <c r="D888" t="s">
        <v>29</v>
      </c>
      <c r="E888" t="s">
        <v>868</v>
      </c>
      <c r="F888" t="s">
        <v>1246</v>
      </c>
      <c r="G888">
        <v>1</v>
      </c>
      <c r="H888" t="s">
        <v>1279</v>
      </c>
      <c r="I888" t="s">
        <v>1280</v>
      </c>
      <c r="J888" t="s">
        <v>39</v>
      </c>
      <c r="K888" t="s">
        <v>40</v>
      </c>
      <c r="L888">
        <v>1</v>
      </c>
      <c r="M888" s="5">
        <v>2603</v>
      </c>
      <c r="N888" s="5">
        <f>+M888*1.3</f>
        <v>3383.9</v>
      </c>
      <c r="O888" s="2">
        <f>+N888-M888</f>
        <v>780.90000000000009</v>
      </c>
    </row>
    <row r="889" spans="1:15" x14ac:dyDescent="0.2">
      <c r="A889" t="s">
        <v>88</v>
      </c>
      <c r="B889">
        <v>1</v>
      </c>
      <c r="C889" t="s">
        <v>14</v>
      </c>
      <c r="D889" t="s">
        <v>89</v>
      </c>
      <c r="E889" t="s">
        <v>868</v>
      </c>
      <c r="F889" t="s">
        <v>1246</v>
      </c>
      <c r="G889">
        <v>68</v>
      </c>
      <c r="H889" t="s">
        <v>1281</v>
      </c>
      <c r="I889" t="s">
        <v>1282</v>
      </c>
      <c r="J889" t="s">
        <v>39</v>
      </c>
      <c r="K889" t="s">
        <v>40</v>
      </c>
      <c r="L889">
        <v>1</v>
      </c>
      <c r="M889" s="5">
        <v>2811</v>
      </c>
      <c r="N889" s="5">
        <f>+M889*1.3</f>
        <v>3654.3</v>
      </c>
      <c r="O889" s="2">
        <f>+N889-M889</f>
        <v>843.30000000000018</v>
      </c>
    </row>
    <row r="890" spans="1:15" x14ac:dyDescent="0.2">
      <c r="A890" t="s">
        <v>88</v>
      </c>
      <c r="B890">
        <v>3</v>
      </c>
      <c r="C890" t="s">
        <v>14</v>
      </c>
      <c r="D890" t="s">
        <v>89</v>
      </c>
      <c r="E890" t="s">
        <v>868</v>
      </c>
      <c r="F890" t="s">
        <v>1246</v>
      </c>
      <c r="G890">
        <v>3</v>
      </c>
      <c r="H890" t="s">
        <v>1283</v>
      </c>
      <c r="I890" t="s">
        <v>1284</v>
      </c>
      <c r="J890" t="s">
        <v>1276</v>
      </c>
      <c r="K890" t="s">
        <v>57</v>
      </c>
      <c r="L890">
        <v>1</v>
      </c>
      <c r="M890" s="5">
        <v>393544</v>
      </c>
      <c r="N890" s="5">
        <f>+M890*1.3</f>
        <v>511607.2</v>
      </c>
      <c r="O890" s="2">
        <f>+N890-M890</f>
        <v>118063.20000000001</v>
      </c>
    </row>
    <row r="891" spans="1:15" x14ac:dyDescent="0.2">
      <c r="A891" t="s">
        <v>88</v>
      </c>
      <c r="B891">
        <v>1</v>
      </c>
      <c r="C891" t="s">
        <v>14</v>
      </c>
      <c r="D891" t="s">
        <v>89</v>
      </c>
      <c r="E891" t="s">
        <v>868</v>
      </c>
      <c r="F891" t="s">
        <v>1246</v>
      </c>
      <c r="G891">
        <v>90</v>
      </c>
      <c r="H891" t="s">
        <v>1285</v>
      </c>
      <c r="I891" t="s">
        <v>1286</v>
      </c>
      <c r="J891" t="s">
        <v>39</v>
      </c>
      <c r="K891" t="s">
        <v>40</v>
      </c>
      <c r="L891">
        <v>1</v>
      </c>
      <c r="M891" s="5">
        <v>3986</v>
      </c>
      <c r="N891" s="5">
        <f>+M891*1.3</f>
        <v>5181.8</v>
      </c>
      <c r="O891" s="2">
        <f>+N891-M891</f>
        <v>1195.8000000000002</v>
      </c>
    </row>
    <row r="892" spans="1:15" x14ac:dyDescent="0.2">
      <c r="A892" t="s">
        <v>88</v>
      </c>
      <c r="B892">
        <v>1</v>
      </c>
      <c r="C892" t="s">
        <v>14</v>
      </c>
      <c r="D892" t="s">
        <v>89</v>
      </c>
      <c r="E892" t="s">
        <v>868</v>
      </c>
      <c r="F892" t="s">
        <v>1246</v>
      </c>
      <c r="G892">
        <v>31</v>
      </c>
      <c r="H892" t="s">
        <v>1287</v>
      </c>
      <c r="I892" t="s">
        <v>1288</v>
      </c>
      <c r="J892" t="s">
        <v>32</v>
      </c>
      <c r="K892" t="s">
        <v>27</v>
      </c>
      <c r="L892">
        <v>1</v>
      </c>
      <c r="M892" s="5">
        <v>12189</v>
      </c>
      <c r="N892" s="5">
        <f>+M892*1.3</f>
        <v>15845.7</v>
      </c>
      <c r="O892" s="2">
        <f>+N892-M892</f>
        <v>3656.7000000000007</v>
      </c>
    </row>
    <row r="893" spans="1:15" x14ac:dyDescent="0.2">
      <c r="A893" t="s">
        <v>88</v>
      </c>
      <c r="B893">
        <v>1</v>
      </c>
      <c r="C893" t="s">
        <v>14</v>
      </c>
      <c r="D893" t="s">
        <v>89</v>
      </c>
      <c r="E893" t="s">
        <v>868</v>
      </c>
      <c r="F893" t="s">
        <v>1246</v>
      </c>
      <c r="G893">
        <v>21</v>
      </c>
      <c r="H893" t="s">
        <v>1289</v>
      </c>
      <c r="I893" t="s">
        <v>1290</v>
      </c>
      <c r="J893" t="s">
        <v>32</v>
      </c>
      <c r="K893" t="s">
        <v>27</v>
      </c>
      <c r="L893">
        <v>1</v>
      </c>
      <c r="M893" s="5">
        <v>9354</v>
      </c>
      <c r="N893" s="5">
        <f>+M893*1.3</f>
        <v>12160.2</v>
      </c>
      <c r="O893" s="2">
        <f>+N893-M893</f>
        <v>2806.2000000000007</v>
      </c>
    </row>
    <row r="894" spans="1:15" x14ac:dyDescent="0.2">
      <c r="A894" t="s">
        <v>13</v>
      </c>
      <c r="B894">
        <v>3</v>
      </c>
      <c r="C894" t="s">
        <v>14</v>
      </c>
      <c r="D894" t="s">
        <v>85</v>
      </c>
      <c r="E894" t="s">
        <v>868</v>
      </c>
      <c r="F894" t="s">
        <v>1246</v>
      </c>
      <c r="G894">
        <v>1</v>
      </c>
      <c r="H894" t="s">
        <v>1291</v>
      </c>
      <c r="I894" t="s">
        <v>1292</v>
      </c>
      <c r="J894" t="s">
        <v>1293</v>
      </c>
      <c r="K894" t="s">
        <v>20</v>
      </c>
      <c r="L894">
        <v>1</v>
      </c>
      <c r="M894" s="5">
        <v>18330</v>
      </c>
      <c r="N894" s="5">
        <f>+M894*1.3</f>
        <v>23829</v>
      </c>
      <c r="O894" s="2">
        <f>+N894-M894</f>
        <v>5499</v>
      </c>
    </row>
    <row r="895" spans="1:15" x14ac:dyDescent="0.2">
      <c r="A895" t="s">
        <v>21</v>
      </c>
      <c r="B895">
        <v>3</v>
      </c>
      <c r="C895" t="s">
        <v>14</v>
      </c>
      <c r="D895" t="s">
        <v>85</v>
      </c>
      <c r="E895" t="s">
        <v>868</v>
      </c>
      <c r="F895" t="s">
        <v>1246</v>
      </c>
      <c r="G895">
        <v>1</v>
      </c>
      <c r="H895" t="s">
        <v>1291</v>
      </c>
      <c r="I895" t="s">
        <v>1292</v>
      </c>
      <c r="J895" t="s">
        <v>1293</v>
      </c>
      <c r="K895" t="s">
        <v>20</v>
      </c>
      <c r="L895">
        <v>1</v>
      </c>
      <c r="M895" s="5">
        <v>18330</v>
      </c>
      <c r="N895" s="5">
        <f>+M895*1.3</f>
        <v>23829</v>
      </c>
      <c r="O895" s="2">
        <f>+N895-M895</f>
        <v>5499</v>
      </c>
    </row>
    <row r="896" spans="1:15" x14ac:dyDescent="0.2">
      <c r="A896" t="s">
        <v>45</v>
      </c>
      <c r="B896">
        <v>3</v>
      </c>
      <c r="C896" t="s">
        <v>14</v>
      </c>
      <c r="D896" t="s">
        <v>556</v>
      </c>
      <c r="E896" t="s">
        <v>868</v>
      </c>
      <c r="F896" t="s">
        <v>1246</v>
      </c>
      <c r="G896">
        <v>1</v>
      </c>
      <c r="H896" t="s">
        <v>1294</v>
      </c>
      <c r="I896" t="s">
        <v>1295</v>
      </c>
      <c r="J896" t="s">
        <v>1293</v>
      </c>
      <c r="K896" t="s">
        <v>20</v>
      </c>
      <c r="L896">
        <v>1</v>
      </c>
      <c r="M896" s="5">
        <v>19625</v>
      </c>
      <c r="N896" s="5">
        <f>+M896*1.3</f>
        <v>25512.5</v>
      </c>
      <c r="O896" s="2">
        <f>+N896-M896</f>
        <v>5887.5</v>
      </c>
    </row>
    <row r="897" spans="1:15" x14ac:dyDescent="0.2">
      <c r="A897" t="s">
        <v>35</v>
      </c>
      <c r="B897">
        <v>3</v>
      </c>
      <c r="C897" t="s">
        <v>14</v>
      </c>
      <c r="D897" t="s">
        <v>556</v>
      </c>
      <c r="E897" t="s">
        <v>868</v>
      </c>
      <c r="F897" t="s">
        <v>1246</v>
      </c>
      <c r="G897">
        <v>1</v>
      </c>
      <c r="H897" t="s">
        <v>1294</v>
      </c>
      <c r="I897" t="s">
        <v>1295</v>
      </c>
      <c r="J897" t="s">
        <v>1293</v>
      </c>
      <c r="K897" t="s">
        <v>20</v>
      </c>
      <c r="L897">
        <v>1</v>
      </c>
      <c r="M897" s="5">
        <v>19625</v>
      </c>
      <c r="N897" s="5">
        <f>+M897*1.3</f>
        <v>25512.5</v>
      </c>
      <c r="O897" s="2">
        <f>+N897-M897</f>
        <v>5887.5</v>
      </c>
    </row>
    <row r="898" spans="1:15" x14ac:dyDescent="0.2">
      <c r="A898" t="s">
        <v>28</v>
      </c>
      <c r="B898">
        <v>3</v>
      </c>
      <c r="C898" t="s">
        <v>14</v>
      </c>
      <c r="D898" t="s">
        <v>556</v>
      </c>
      <c r="E898" t="s">
        <v>868</v>
      </c>
      <c r="F898" t="s">
        <v>1246</v>
      </c>
      <c r="G898">
        <v>1</v>
      </c>
      <c r="H898" t="s">
        <v>1294</v>
      </c>
      <c r="I898" t="s">
        <v>1295</v>
      </c>
      <c r="J898" t="s">
        <v>1293</v>
      </c>
      <c r="K898" t="s">
        <v>20</v>
      </c>
      <c r="L898">
        <v>1</v>
      </c>
      <c r="M898" s="5">
        <v>19625</v>
      </c>
      <c r="N898" s="5">
        <f>+M898*1.3</f>
        <v>25512.5</v>
      </c>
      <c r="O898" s="2">
        <f>+N898-M898</f>
        <v>5887.5</v>
      </c>
    </row>
    <row r="899" spans="1:15" x14ac:dyDescent="0.2">
      <c r="A899" t="s">
        <v>13</v>
      </c>
      <c r="B899">
        <v>1</v>
      </c>
      <c r="C899" t="s">
        <v>14</v>
      </c>
      <c r="D899" t="s">
        <v>29</v>
      </c>
      <c r="E899" t="s">
        <v>868</v>
      </c>
      <c r="F899" t="s">
        <v>1246</v>
      </c>
      <c r="G899">
        <v>2</v>
      </c>
      <c r="H899" t="s">
        <v>1296</v>
      </c>
      <c r="I899" t="s">
        <v>1297</v>
      </c>
      <c r="J899" t="s">
        <v>135</v>
      </c>
      <c r="K899" t="s">
        <v>40</v>
      </c>
      <c r="L899">
        <v>1</v>
      </c>
      <c r="M899" s="5">
        <v>2935</v>
      </c>
      <c r="N899" s="5">
        <f>+M899*1.3</f>
        <v>3815.5</v>
      </c>
      <c r="O899" s="2">
        <f>+N899-M899</f>
        <v>880.5</v>
      </c>
    </row>
    <row r="900" spans="1:15" x14ac:dyDescent="0.2">
      <c r="A900" t="s">
        <v>21</v>
      </c>
      <c r="B900">
        <v>1</v>
      </c>
      <c r="C900" t="s">
        <v>14</v>
      </c>
      <c r="D900" t="s">
        <v>29</v>
      </c>
      <c r="E900" t="s">
        <v>868</v>
      </c>
      <c r="F900" t="s">
        <v>1246</v>
      </c>
      <c r="G900">
        <v>2</v>
      </c>
      <c r="H900" t="s">
        <v>1296</v>
      </c>
      <c r="I900" t="s">
        <v>1297</v>
      </c>
      <c r="J900" t="s">
        <v>135</v>
      </c>
      <c r="K900" t="s">
        <v>40</v>
      </c>
      <c r="L900">
        <v>1</v>
      </c>
      <c r="M900" s="5">
        <v>2935</v>
      </c>
      <c r="N900" s="5">
        <f>+M900*1.3</f>
        <v>3815.5</v>
      </c>
      <c r="O900" s="2">
        <f>+N900-M900</f>
        <v>880.5</v>
      </c>
    </row>
    <row r="901" spans="1:15" x14ac:dyDescent="0.2">
      <c r="A901" t="s">
        <v>13</v>
      </c>
      <c r="B901">
        <v>2</v>
      </c>
      <c r="C901" t="s">
        <v>14</v>
      </c>
      <c r="D901" t="s">
        <v>15</v>
      </c>
      <c r="E901" t="s">
        <v>868</v>
      </c>
      <c r="F901" t="s">
        <v>1246</v>
      </c>
      <c r="G901">
        <v>1</v>
      </c>
      <c r="H901" t="s">
        <v>1298</v>
      </c>
      <c r="I901" t="s">
        <v>1299</v>
      </c>
      <c r="J901" t="s">
        <v>63</v>
      </c>
      <c r="K901" t="s">
        <v>27</v>
      </c>
      <c r="L901">
        <v>1</v>
      </c>
      <c r="M901" s="5">
        <v>11454</v>
      </c>
      <c r="N901" s="5">
        <f>+M901*1.3</f>
        <v>14890.2</v>
      </c>
      <c r="O901" s="2">
        <f>+N901-M901</f>
        <v>3436.2000000000007</v>
      </c>
    </row>
    <row r="902" spans="1:15" x14ac:dyDescent="0.2">
      <c r="A902" t="s">
        <v>21</v>
      </c>
      <c r="B902">
        <v>1</v>
      </c>
      <c r="C902" t="s">
        <v>14</v>
      </c>
      <c r="D902" t="s">
        <v>15</v>
      </c>
      <c r="E902" t="s">
        <v>868</v>
      </c>
      <c r="F902" t="s">
        <v>1246</v>
      </c>
      <c r="G902">
        <v>1</v>
      </c>
      <c r="H902" t="s">
        <v>1298</v>
      </c>
      <c r="I902" t="s">
        <v>1299</v>
      </c>
      <c r="J902" t="s">
        <v>63</v>
      </c>
      <c r="K902" t="s">
        <v>27</v>
      </c>
      <c r="L902">
        <v>1</v>
      </c>
      <c r="M902" s="5">
        <v>11454</v>
      </c>
      <c r="N902" s="5">
        <f>+M902*1.3</f>
        <v>14890.2</v>
      </c>
      <c r="O902" s="2">
        <f>+N902-M902</f>
        <v>3436.2000000000007</v>
      </c>
    </row>
    <row r="903" spans="1:15" x14ac:dyDescent="0.2">
      <c r="A903" t="s">
        <v>13</v>
      </c>
      <c r="B903">
        <v>1</v>
      </c>
      <c r="C903" t="s">
        <v>14</v>
      </c>
      <c r="D903" t="s">
        <v>15</v>
      </c>
      <c r="E903" t="s">
        <v>868</v>
      </c>
      <c r="F903" t="s">
        <v>1246</v>
      </c>
      <c r="G903">
        <v>1</v>
      </c>
      <c r="H903" t="s">
        <v>1300</v>
      </c>
      <c r="I903" t="s">
        <v>1301</v>
      </c>
      <c r="J903" t="s">
        <v>1276</v>
      </c>
      <c r="K903" t="s">
        <v>57</v>
      </c>
      <c r="L903">
        <v>1</v>
      </c>
      <c r="M903" s="5">
        <v>503477</v>
      </c>
      <c r="N903" s="5">
        <f>+M903*1.3</f>
        <v>654520.1</v>
      </c>
      <c r="O903" s="2">
        <f>+N903-M903</f>
        <v>151043.09999999998</v>
      </c>
    </row>
    <row r="904" spans="1:15" x14ac:dyDescent="0.2">
      <c r="A904" t="s">
        <v>21</v>
      </c>
      <c r="B904">
        <v>3</v>
      </c>
      <c r="C904" t="s">
        <v>14</v>
      </c>
      <c r="D904" t="s">
        <v>15</v>
      </c>
      <c r="E904" t="s">
        <v>868</v>
      </c>
      <c r="F904" t="s">
        <v>1246</v>
      </c>
      <c r="G904">
        <v>1</v>
      </c>
      <c r="H904" t="s">
        <v>1300</v>
      </c>
      <c r="I904" t="s">
        <v>1301</v>
      </c>
      <c r="J904" t="s">
        <v>1276</v>
      </c>
      <c r="K904" t="s">
        <v>57</v>
      </c>
      <c r="L904">
        <v>1</v>
      </c>
      <c r="M904" s="5">
        <v>503477</v>
      </c>
      <c r="N904" s="5">
        <f>+M904*1.3</f>
        <v>654520.1</v>
      </c>
      <c r="O904" s="2">
        <f>+N904-M904</f>
        <v>151043.09999999998</v>
      </c>
    </row>
    <row r="905" spans="1:15" x14ac:dyDescent="0.2">
      <c r="A905" t="s">
        <v>13</v>
      </c>
      <c r="B905">
        <v>1</v>
      </c>
      <c r="C905" t="s">
        <v>14</v>
      </c>
      <c r="D905" t="s">
        <v>85</v>
      </c>
      <c r="E905" t="s">
        <v>868</v>
      </c>
      <c r="F905" t="s">
        <v>1246</v>
      </c>
      <c r="G905">
        <v>2</v>
      </c>
      <c r="H905" t="s">
        <v>1302</v>
      </c>
      <c r="I905" t="s">
        <v>1303</v>
      </c>
      <c r="J905" t="s">
        <v>1276</v>
      </c>
      <c r="K905" t="s">
        <v>57</v>
      </c>
      <c r="L905">
        <v>1</v>
      </c>
      <c r="M905" s="5">
        <v>540831</v>
      </c>
      <c r="N905" s="5">
        <f>+M905*1.3</f>
        <v>703080.3</v>
      </c>
      <c r="O905" s="2">
        <f>+N905-M905</f>
        <v>162249.30000000005</v>
      </c>
    </row>
    <row r="906" spans="1:15" x14ac:dyDescent="0.2">
      <c r="A906" t="s">
        <v>21</v>
      </c>
      <c r="B906">
        <v>3</v>
      </c>
      <c r="C906" t="s">
        <v>14</v>
      </c>
      <c r="D906" t="s">
        <v>85</v>
      </c>
      <c r="E906" t="s">
        <v>868</v>
      </c>
      <c r="F906" t="s">
        <v>1246</v>
      </c>
      <c r="G906">
        <v>2</v>
      </c>
      <c r="H906" t="s">
        <v>1302</v>
      </c>
      <c r="I906" t="s">
        <v>1303</v>
      </c>
      <c r="J906" t="s">
        <v>1276</v>
      </c>
      <c r="K906" t="s">
        <v>57</v>
      </c>
      <c r="L906">
        <v>1</v>
      </c>
      <c r="M906" s="5">
        <v>540831</v>
      </c>
      <c r="N906" s="5">
        <f>+M906*1.3</f>
        <v>703080.3</v>
      </c>
      <c r="O906" s="2">
        <f>+N906-M906</f>
        <v>162249.30000000005</v>
      </c>
    </row>
    <row r="907" spans="1:15" x14ac:dyDescent="0.2">
      <c r="A907" t="s">
        <v>13</v>
      </c>
      <c r="B907">
        <v>3</v>
      </c>
      <c r="C907" t="s">
        <v>14</v>
      </c>
      <c r="D907" t="s">
        <v>85</v>
      </c>
      <c r="E907" t="s">
        <v>868</v>
      </c>
      <c r="F907" t="s">
        <v>1246</v>
      </c>
      <c r="G907">
        <v>3</v>
      </c>
      <c r="H907" t="s">
        <v>1304</v>
      </c>
      <c r="I907" t="s">
        <v>1305</v>
      </c>
      <c r="J907" t="s">
        <v>188</v>
      </c>
      <c r="K907" t="s">
        <v>50</v>
      </c>
      <c r="L907">
        <v>1</v>
      </c>
      <c r="M907" s="5">
        <v>55422</v>
      </c>
      <c r="N907" s="5">
        <f>+M907*1.3</f>
        <v>72048.600000000006</v>
      </c>
      <c r="O907" s="2">
        <f>+N907-M907</f>
        <v>16626.600000000006</v>
      </c>
    </row>
    <row r="908" spans="1:15" x14ac:dyDescent="0.2">
      <c r="A908" t="s">
        <v>21</v>
      </c>
      <c r="B908">
        <v>2</v>
      </c>
      <c r="C908" t="s">
        <v>14</v>
      </c>
      <c r="D908" t="s">
        <v>85</v>
      </c>
      <c r="E908" t="s">
        <v>868</v>
      </c>
      <c r="F908" t="s">
        <v>1246</v>
      </c>
      <c r="G908">
        <v>3</v>
      </c>
      <c r="H908" t="s">
        <v>1304</v>
      </c>
      <c r="I908" t="s">
        <v>1305</v>
      </c>
      <c r="J908" t="s">
        <v>188</v>
      </c>
      <c r="K908" t="s">
        <v>50</v>
      </c>
      <c r="L908">
        <v>1</v>
      </c>
      <c r="M908" s="5">
        <v>55422</v>
      </c>
      <c r="N908" s="5">
        <f>+M908*1.3</f>
        <v>72048.600000000006</v>
      </c>
      <c r="O908" s="2">
        <f>+N908-M908</f>
        <v>16626.600000000006</v>
      </c>
    </row>
    <row r="909" spans="1:15" x14ac:dyDescent="0.2">
      <c r="A909" t="s">
        <v>45</v>
      </c>
      <c r="B909">
        <v>1</v>
      </c>
      <c r="C909" t="s">
        <v>14</v>
      </c>
      <c r="D909" t="s">
        <v>556</v>
      </c>
      <c r="E909" t="s">
        <v>868</v>
      </c>
      <c r="F909" t="s">
        <v>1246</v>
      </c>
      <c r="G909">
        <v>2</v>
      </c>
      <c r="H909" t="s">
        <v>1306</v>
      </c>
      <c r="I909" t="s">
        <v>1307</v>
      </c>
      <c r="J909" t="s">
        <v>1276</v>
      </c>
      <c r="K909" t="s">
        <v>57</v>
      </c>
      <c r="L909">
        <v>1</v>
      </c>
      <c r="M909" s="5">
        <v>620509</v>
      </c>
      <c r="N909" s="5">
        <f>+M909*1.3</f>
        <v>806661.70000000007</v>
      </c>
      <c r="O909" s="2">
        <f>+N909-M909</f>
        <v>186152.70000000007</v>
      </c>
    </row>
    <row r="910" spans="1:15" x14ac:dyDescent="0.2">
      <c r="A910" t="s">
        <v>35</v>
      </c>
      <c r="B910">
        <v>1</v>
      </c>
      <c r="C910" t="s">
        <v>14</v>
      </c>
      <c r="D910" t="s">
        <v>556</v>
      </c>
      <c r="E910" t="s">
        <v>868</v>
      </c>
      <c r="F910" t="s">
        <v>1246</v>
      </c>
      <c r="G910">
        <v>2</v>
      </c>
      <c r="H910" t="s">
        <v>1306</v>
      </c>
      <c r="I910" t="s">
        <v>1307</v>
      </c>
      <c r="J910" t="s">
        <v>1276</v>
      </c>
      <c r="K910" t="s">
        <v>57</v>
      </c>
      <c r="L910">
        <v>1</v>
      </c>
      <c r="M910" s="5">
        <v>620509</v>
      </c>
      <c r="N910" s="5">
        <f>+M910*1.3</f>
        <v>806661.70000000007</v>
      </c>
      <c r="O910" s="2">
        <f>+N910-M910</f>
        <v>186152.70000000007</v>
      </c>
    </row>
    <row r="911" spans="1:15" x14ac:dyDescent="0.2">
      <c r="A911" t="s">
        <v>28</v>
      </c>
      <c r="B911">
        <v>1</v>
      </c>
      <c r="C911" t="s">
        <v>14</v>
      </c>
      <c r="D911" t="s">
        <v>556</v>
      </c>
      <c r="E911" t="s">
        <v>868</v>
      </c>
      <c r="F911" t="s">
        <v>1246</v>
      </c>
      <c r="G911">
        <v>2</v>
      </c>
      <c r="H911" t="s">
        <v>1306</v>
      </c>
      <c r="I911" t="s">
        <v>1307</v>
      </c>
      <c r="J911" t="s">
        <v>1276</v>
      </c>
      <c r="K911" t="s">
        <v>57</v>
      </c>
      <c r="L911">
        <v>1</v>
      </c>
      <c r="M911" s="5">
        <v>620509</v>
      </c>
      <c r="N911" s="5">
        <f>+M911*1.3</f>
        <v>806661.70000000007</v>
      </c>
      <c r="O911" s="2">
        <f>+N911-M911</f>
        <v>186152.70000000007</v>
      </c>
    </row>
    <row r="912" spans="1:15" x14ac:dyDescent="0.2">
      <c r="A912" t="s">
        <v>45</v>
      </c>
      <c r="B912">
        <v>1</v>
      </c>
      <c r="C912" t="s">
        <v>14</v>
      </c>
      <c r="D912" t="s">
        <v>211</v>
      </c>
      <c r="E912" t="s">
        <v>868</v>
      </c>
      <c r="F912" t="s">
        <v>1246</v>
      </c>
      <c r="G912">
        <v>2</v>
      </c>
      <c r="H912" t="s">
        <v>1308</v>
      </c>
      <c r="I912" t="s">
        <v>1309</v>
      </c>
      <c r="J912" t="s">
        <v>1310</v>
      </c>
      <c r="K912" t="s">
        <v>50</v>
      </c>
      <c r="L912">
        <v>1</v>
      </c>
      <c r="M912" s="5">
        <v>37638</v>
      </c>
      <c r="N912" s="5">
        <f>+M912*1.3</f>
        <v>48929.4</v>
      </c>
      <c r="O912" s="2">
        <f>+N912-M912</f>
        <v>11291.400000000001</v>
      </c>
    </row>
    <row r="913" spans="1:15" x14ac:dyDescent="0.2">
      <c r="A913" t="s">
        <v>41</v>
      </c>
      <c r="B913">
        <v>1</v>
      </c>
      <c r="C913" t="s">
        <v>14</v>
      </c>
      <c r="D913" t="s">
        <v>211</v>
      </c>
      <c r="E913" t="s">
        <v>868</v>
      </c>
      <c r="F913" t="s">
        <v>1246</v>
      </c>
      <c r="G913">
        <v>2</v>
      </c>
      <c r="H913" t="s">
        <v>1308</v>
      </c>
      <c r="I913" t="s">
        <v>1309</v>
      </c>
      <c r="J913" t="s">
        <v>1310</v>
      </c>
      <c r="K913" t="s">
        <v>50</v>
      </c>
      <c r="L913">
        <v>1</v>
      </c>
      <c r="M913" s="5">
        <v>37638</v>
      </c>
      <c r="N913" s="5">
        <f>+M913*1.3</f>
        <v>48929.4</v>
      </c>
      <c r="O913" s="2">
        <f>+N913-M913</f>
        <v>11291.400000000001</v>
      </c>
    </row>
    <row r="914" spans="1:15" x14ac:dyDescent="0.2">
      <c r="A914" t="s">
        <v>28</v>
      </c>
      <c r="B914">
        <v>1</v>
      </c>
      <c r="C914" t="s">
        <v>14</v>
      </c>
      <c r="D914" t="s">
        <v>211</v>
      </c>
      <c r="E914" t="s">
        <v>868</v>
      </c>
      <c r="F914" t="s">
        <v>1246</v>
      </c>
      <c r="G914">
        <v>2</v>
      </c>
      <c r="H914" t="s">
        <v>1308</v>
      </c>
      <c r="I914" t="s">
        <v>1309</v>
      </c>
      <c r="J914" t="s">
        <v>1310</v>
      </c>
      <c r="K914" t="s">
        <v>50</v>
      </c>
      <c r="L914">
        <v>1</v>
      </c>
      <c r="M914" s="5">
        <v>37638</v>
      </c>
      <c r="N914" s="5">
        <f>+M914*1.3</f>
        <v>48929.4</v>
      </c>
      <c r="O914" s="2">
        <f>+N914-M914</f>
        <v>11291.400000000001</v>
      </c>
    </row>
    <row r="915" spans="1:15" x14ac:dyDescent="0.2">
      <c r="A915" t="s">
        <v>45</v>
      </c>
      <c r="B915">
        <v>1</v>
      </c>
      <c r="C915" t="s">
        <v>14</v>
      </c>
      <c r="D915" t="s">
        <v>211</v>
      </c>
      <c r="E915" t="s">
        <v>868</v>
      </c>
      <c r="F915" t="s">
        <v>1246</v>
      </c>
      <c r="G915">
        <v>1</v>
      </c>
      <c r="H915" t="s">
        <v>1311</v>
      </c>
      <c r="I915" t="s">
        <v>1312</v>
      </c>
      <c r="J915" t="s">
        <v>1313</v>
      </c>
      <c r="K915" t="s">
        <v>57</v>
      </c>
      <c r="L915">
        <v>1</v>
      </c>
      <c r="M915" s="5">
        <v>366691</v>
      </c>
      <c r="N915" s="5">
        <f>+M915*1.3</f>
        <v>476698.3</v>
      </c>
      <c r="O915" s="2">
        <f>+N915-M915</f>
        <v>110007.29999999999</v>
      </c>
    </row>
    <row r="916" spans="1:15" x14ac:dyDescent="0.2">
      <c r="A916" t="s">
        <v>41</v>
      </c>
      <c r="B916">
        <v>1</v>
      </c>
      <c r="C916" t="s">
        <v>14</v>
      </c>
      <c r="D916" t="s">
        <v>211</v>
      </c>
      <c r="E916" t="s">
        <v>868</v>
      </c>
      <c r="F916" t="s">
        <v>1246</v>
      </c>
      <c r="G916">
        <v>1</v>
      </c>
      <c r="H916" t="s">
        <v>1311</v>
      </c>
      <c r="I916" t="s">
        <v>1312</v>
      </c>
      <c r="J916" t="s">
        <v>1313</v>
      </c>
      <c r="K916" t="s">
        <v>57</v>
      </c>
      <c r="L916">
        <v>1</v>
      </c>
      <c r="M916" s="5">
        <v>366691</v>
      </c>
      <c r="N916" s="5">
        <f>+M916*1.3</f>
        <v>476698.3</v>
      </c>
      <c r="O916" s="2">
        <f>+N916-M916</f>
        <v>110007.29999999999</v>
      </c>
    </row>
    <row r="917" spans="1:15" x14ac:dyDescent="0.2">
      <c r="A917" t="s">
        <v>28</v>
      </c>
      <c r="B917">
        <v>1</v>
      </c>
      <c r="C917" t="s">
        <v>14</v>
      </c>
      <c r="D917" t="s">
        <v>211</v>
      </c>
      <c r="E917" t="s">
        <v>868</v>
      </c>
      <c r="F917" t="s">
        <v>1246</v>
      </c>
      <c r="G917">
        <v>1</v>
      </c>
      <c r="H917" t="s">
        <v>1311</v>
      </c>
      <c r="I917" t="s">
        <v>1312</v>
      </c>
      <c r="J917" t="s">
        <v>1313</v>
      </c>
      <c r="K917" t="s">
        <v>57</v>
      </c>
      <c r="L917">
        <v>1</v>
      </c>
      <c r="M917" s="5">
        <v>366691</v>
      </c>
      <c r="N917" s="5">
        <f>+M917*1.3</f>
        <v>476698.3</v>
      </c>
      <c r="O917" s="2">
        <f>+N917-M917</f>
        <v>110007.29999999999</v>
      </c>
    </row>
    <row r="918" spans="1:15" x14ac:dyDescent="0.2">
      <c r="A918" t="s">
        <v>45</v>
      </c>
      <c r="B918">
        <v>1</v>
      </c>
      <c r="C918" t="s">
        <v>14</v>
      </c>
      <c r="D918" t="s">
        <v>46</v>
      </c>
      <c r="E918" t="s">
        <v>868</v>
      </c>
      <c r="F918" t="s">
        <v>1246</v>
      </c>
      <c r="G918">
        <v>1</v>
      </c>
      <c r="H918" t="s">
        <v>1314</v>
      </c>
      <c r="I918" t="s">
        <v>1315</v>
      </c>
      <c r="J918" t="s">
        <v>1313</v>
      </c>
      <c r="K918" t="s">
        <v>57</v>
      </c>
      <c r="L918">
        <v>1</v>
      </c>
      <c r="M918" s="5">
        <v>369128</v>
      </c>
      <c r="N918" s="5">
        <f>+M918*1.3</f>
        <v>479866.4</v>
      </c>
      <c r="O918" s="2">
        <f>+N918-M918</f>
        <v>110738.40000000002</v>
      </c>
    </row>
    <row r="919" spans="1:15" x14ac:dyDescent="0.2">
      <c r="A919" t="s">
        <v>41</v>
      </c>
      <c r="B919">
        <v>1</v>
      </c>
      <c r="C919" t="s">
        <v>14</v>
      </c>
      <c r="D919" t="s">
        <v>46</v>
      </c>
      <c r="E919" t="s">
        <v>868</v>
      </c>
      <c r="F919" t="s">
        <v>1246</v>
      </c>
      <c r="G919">
        <v>1</v>
      </c>
      <c r="H919" t="s">
        <v>1314</v>
      </c>
      <c r="I919" t="s">
        <v>1315</v>
      </c>
      <c r="J919" t="s">
        <v>1313</v>
      </c>
      <c r="K919" t="s">
        <v>57</v>
      </c>
      <c r="L919">
        <v>1</v>
      </c>
      <c r="M919" s="5">
        <v>369128</v>
      </c>
      <c r="N919" s="5">
        <f>+M919*1.3</f>
        <v>479866.4</v>
      </c>
      <c r="O919" s="2">
        <f>+N919-M919</f>
        <v>110738.40000000002</v>
      </c>
    </row>
    <row r="920" spans="1:15" x14ac:dyDescent="0.2">
      <c r="A920" t="s">
        <v>28</v>
      </c>
      <c r="B920">
        <v>1</v>
      </c>
      <c r="C920" t="s">
        <v>14</v>
      </c>
      <c r="D920" t="s">
        <v>46</v>
      </c>
      <c r="E920" t="s">
        <v>868</v>
      </c>
      <c r="F920" t="s">
        <v>1246</v>
      </c>
      <c r="G920">
        <v>1</v>
      </c>
      <c r="H920" t="s">
        <v>1314</v>
      </c>
      <c r="I920" t="s">
        <v>1315</v>
      </c>
      <c r="J920" t="s">
        <v>1313</v>
      </c>
      <c r="K920" t="s">
        <v>57</v>
      </c>
      <c r="L920">
        <v>1</v>
      </c>
      <c r="M920" s="5">
        <v>369128</v>
      </c>
      <c r="N920" s="5">
        <f>+M920*1.3</f>
        <v>479866.4</v>
      </c>
      <c r="O920" s="2">
        <f>+N920-M920</f>
        <v>110738.40000000002</v>
      </c>
    </row>
    <row r="921" spans="1:15" x14ac:dyDescent="0.2">
      <c r="A921" t="s">
        <v>13</v>
      </c>
      <c r="B921">
        <v>2</v>
      </c>
      <c r="C921" t="s">
        <v>14</v>
      </c>
      <c r="D921" t="s">
        <v>29</v>
      </c>
      <c r="E921" t="s">
        <v>868</v>
      </c>
      <c r="F921" t="s">
        <v>1246</v>
      </c>
      <c r="G921">
        <v>2</v>
      </c>
      <c r="H921" t="s">
        <v>1316</v>
      </c>
      <c r="I921" t="s">
        <v>1317</v>
      </c>
      <c r="J921" t="s">
        <v>63</v>
      </c>
      <c r="K921" t="s">
        <v>27</v>
      </c>
      <c r="L921">
        <v>1</v>
      </c>
      <c r="M921" s="5">
        <v>10882</v>
      </c>
      <c r="N921" s="5">
        <f>+M921*1.3</f>
        <v>14146.6</v>
      </c>
      <c r="O921" s="2">
        <f>+N921-M921</f>
        <v>3264.6000000000004</v>
      </c>
    </row>
    <row r="922" spans="1:15" x14ac:dyDescent="0.2">
      <c r="A922" t="s">
        <v>21</v>
      </c>
      <c r="B922">
        <v>1</v>
      </c>
      <c r="C922" t="s">
        <v>14</v>
      </c>
      <c r="D922" t="s">
        <v>29</v>
      </c>
      <c r="E922" t="s">
        <v>868</v>
      </c>
      <c r="F922" t="s">
        <v>1246</v>
      </c>
      <c r="G922">
        <v>2</v>
      </c>
      <c r="H922" t="s">
        <v>1316</v>
      </c>
      <c r="I922" t="s">
        <v>1317</v>
      </c>
      <c r="J922" t="s">
        <v>63</v>
      </c>
      <c r="K922" t="s">
        <v>27</v>
      </c>
      <c r="L922">
        <v>1</v>
      </c>
      <c r="M922" s="5">
        <v>10882</v>
      </c>
      <c r="N922" s="5">
        <f>+M922*1.3</f>
        <v>14146.6</v>
      </c>
      <c r="O922" s="2">
        <f>+N922-M922</f>
        <v>3264.6000000000004</v>
      </c>
    </row>
    <row r="923" spans="1:15" x14ac:dyDescent="0.2">
      <c r="A923" t="s">
        <v>13</v>
      </c>
      <c r="B923">
        <v>3</v>
      </c>
      <c r="C923" t="s">
        <v>14</v>
      </c>
      <c r="D923" t="s">
        <v>15</v>
      </c>
      <c r="E923" t="s">
        <v>868</v>
      </c>
      <c r="F923" t="s">
        <v>1246</v>
      </c>
      <c r="G923">
        <v>2</v>
      </c>
      <c r="H923" t="s">
        <v>1318</v>
      </c>
      <c r="I923" t="s">
        <v>1319</v>
      </c>
      <c r="J923" t="s">
        <v>1293</v>
      </c>
      <c r="K923" t="s">
        <v>20</v>
      </c>
      <c r="L923">
        <v>1</v>
      </c>
      <c r="M923" s="5">
        <v>17592</v>
      </c>
      <c r="N923" s="5">
        <f>+M923*1.3</f>
        <v>22869.600000000002</v>
      </c>
      <c r="O923" s="2">
        <f>+N923-M923</f>
        <v>5277.6000000000022</v>
      </c>
    </row>
    <row r="924" spans="1:15" x14ac:dyDescent="0.2">
      <c r="A924" t="s">
        <v>21</v>
      </c>
      <c r="B924">
        <v>3</v>
      </c>
      <c r="C924" t="s">
        <v>14</v>
      </c>
      <c r="D924" t="s">
        <v>15</v>
      </c>
      <c r="E924" t="s">
        <v>868</v>
      </c>
      <c r="F924" t="s">
        <v>1246</v>
      </c>
      <c r="G924">
        <v>2</v>
      </c>
      <c r="H924" t="s">
        <v>1318</v>
      </c>
      <c r="I924" t="s">
        <v>1319</v>
      </c>
      <c r="J924" t="s">
        <v>1293</v>
      </c>
      <c r="K924" t="s">
        <v>20</v>
      </c>
      <c r="L924">
        <v>1</v>
      </c>
      <c r="M924" s="5">
        <v>17592</v>
      </c>
      <c r="N924" s="5">
        <f>+M924*1.3</f>
        <v>22869.600000000002</v>
      </c>
      <c r="O924" s="2">
        <f>+N924-M924</f>
        <v>5277.6000000000022</v>
      </c>
    </row>
    <row r="925" spans="1:15" x14ac:dyDescent="0.2">
      <c r="A925" t="s">
        <v>45</v>
      </c>
      <c r="B925">
        <v>1</v>
      </c>
      <c r="C925" t="s">
        <v>14</v>
      </c>
      <c r="D925" t="s">
        <v>46</v>
      </c>
      <c r="E925" t="s">
        <v>868</v>
      </c>
      <c r="F925" t="s">
        <v>1246</v>
      </c>
      <c r="G925">
        <v>3</v>
      </c>
      <c r="H925" t="s">
        <v>1320</v>
      </c>
      <c r="I925" t="s">
        <v>1321</v>
      </c>
      <c r="J925" t="s">
        <v>1310</v>
      </c>
      <c r="K925" t="s">
        <v>50</v>
      </c>
      <c r="L925">
        <v>1</v>
      </c>
      <c r="M925" s="5">
        <v>38011</v>
      </c>
      <c r="N925" s="5">
        <f>+M925*1.3</f>
        <v>49414.3</v>
      </c>
      <c r="O925" s="2">
        <f>+N925-M925</f>
        <v>11403.300000000003</v>
      </c>
    </row>
    <row r="926" spans="1:15" x14ac:dyDescent="0.2">
      <c r="A926" t="s">
        <v>41</v>
      </c>
      <c r="B926">
        <v>1</v>
      </c>
      <c r="C926" t="s">
        <v>14</v>
      </c>
      <c r="D926" t="s">
        <v>46</v>
      </c>
      <c r="E926" t="s">
        <v>868</v>
      </c>
      <c r="F926" t="s">
        <v>1246</v>
      </c>
      <c r="G926">
        <v>3</v>
      </c>
      <c r="H926" t="s">
        <v>1320</v>
      </c>
      <c r="I926" t="s">
        <v>1321</v>
      </c>
      <c r="J926" t="s">
        <v>1310</v>
      </c>
      <c r="K926" t="s">
        <v>50</v>
      </c>
      <c r="L926">
        <v>1</v>
      </c>
      <c r="M926" s="5">
        <v>38011</v>
      </c>
      <c r="N926" s="5">
        <f>+M926*1.3</f>
        <v>49414.3</v>
      </c>
      <c r="O926" s="2">
        <f>+N926-M926</f>
        <v>11403.300000000003</v>
      </c>
    </row>
    <row r="927" spans="1:15" x14ac:dyDescent="0.2">
      <c r="A927" t="s">
        <v>28</v>
      </c>
      <c r="B927">
        <v>1</v>
      </c>
      <c r="C927" t="s">
        <v>14</v>
      </c>
      <c r="D927" t="s">
        <v>46</v>
      </c>
      <c r="E927" t="s">
        <v>868</v>
      </c>
      <c r="F927" t="s">
        <v>1246</v>
      </c>
      <c r="G927">
        <v>3</v>
      </c>
      <c r="H927" t="s">
        <v>1320</v>
      </c>
      <c r="I927" t="s">
        <v>1321</v>
      </c>
      <c r="J927" t="s">
        <v>1310</v>
      </c>
      <c r="K927" t="s">
        <v>50</v>
      </c>
      <c r="L927">
        <v>1</v>
      </c>
      <c r="M927" s="5">
        <v>38011</v>
      </c>
      <c r="N927" s="5">
        <f>+M927*1.3</f>
        <v>49414.3</v>
      </c>
      <c r="O927" s="2">
        <f>+N927-M927</f>
        <v>11403.300000000003</v>
      </c>
    </row>
    <row r="928" spans="1:15" x14ac:dyDescent="0.2">
      <c r="A928" t="s">
        <v>88</v>
      </c>
      <c r="B928">
        <v>3</v>
      </c>
      <c r="C928" t="s">
        <v>14</v>
      </c>
      <c r="D928" t="s">
        <v>89</v>
      </c>
      <c r="E928" t="s">
        <v>868</v>
      </c>
      <c r="F928" t="s">
        <v>1246</v>
      </c>
      <c r="G928">
        <v>1</v>
      </c>
      <c r="H928" t="s">
        <v>1322</v>
      </c>
      <c r="I928" t="s">
        <v>1323</v>
      </c>
      <c r="J928" t="s">
        <v>1324</v>
      </c>
      <c r="K928" t="s">
        <v>1325</v>
      </c>
      <c r="L928">
        <v>1</v>
      </c>
      <c r="M928" s="5">
        <v>594384</v>
      </c>
      <c r="N928" s="5">
        <f>+M928*1.3</f>
        <v>772699.20000000007</v>
      </c>
      <c r="O928" s="2">
        <f>+N928-M928</f>
        <v>178315.20000000007</v>
      </c>
    </row>
    <row r="929" spans="1:15" x14ac:dyDescent="0.2">
      <c r="A929" t="s">
        <v>88</v>
      </c>
      <c r="B929">
        <v>3</v>
      </c>
      <c r="C929" t="s">
        <v>14</v>
      </c>
      <c r="D929" t="s">
        <v>89</v>
      </c>
      <c r="E929" t="s">
        <v>868</v>
      </c>
      <c r="F929" t="s">
        <v>1246</v>
      </c>
      <c r="G929">
        <v>2</v>
      </c>
      <c r="H929" t="s">
        <v>1326</v>
      </c>
      <c r="I929" t="s">
        <v>1327</v>
      </c>
      <c r="J929" t="s">
        <v>1324</v>
      </c>
      <c r="K929" t="s">
        <v>1325</v>
      </c>
      <c r="L929">
        <v>1</v>
      </c>
      <c r="M929" s="5">
        <v>1229953</v>
      </c>
      <c r="N929" s="5">
        <f>+M929*1.3</f>
        <v>1598938.9000000001</v>
      </c>
      <c r="O929" s="2">
        <f>+N929-M929</f>
        <v>368985.90000000014</v>
      </c>
    </row>
    <row r="930" spans="1:15" x14ac:dyDescent="0.2">
      <c r="A930" t="s">
        <v>88</v>
      </c>
      <c r="B930">
        <v>1</v>
      </c>
      <c r="C930" t="s">
        <v>14</v>
      </c>
      <c r="D930" t="s">
        <v>89</v>
      </c>
      <c r="E930" t="s">
        <v>868</v>
      </c>
      <c r="F930" t="s">
        <v>1246</v>
      </c>
      <c r="G930">
        <v>71</v>
      </c>
      <c r="H930" t="s">
        <v>1328</v>
      </c>
      <c r="I930" t="s">
        <v>1329</v>
      </c>
      <c r="J930" t="s">
        <v>39</v>
      </c>
      <c r="K930" t="s">
        <v>40</v>
      </c>
      <c r="L930">
        <v>1</v>
      </c>
      <c r="M930" s="5">
        <v>2959</v>
      </c>
      <c r="N930" s="5">
        <f>+M930*1.3</f>
        <v>3846.7000000000003</v>
      </c>
      <c r="O930" s="2">
        <f>+N930-M930</f>
        <v>887.70000000000027</v>
      </c>
    </row>
    <row r="931" spans="1:15" x14ac:dyDescent="0.2">
      <c r="A931" t="s">
        <v>88</v>
      </c>
      <c r="B931">
        <v>1</v>
      </c>
      <c r="C931" t="s">
        <v>14</v>
      </c>
      <c r="D931" t="s">
        <v>89</v>
      </c>
      <c r="E931" t="s">
        <v>868</v>
      </c>
      <c r="F931" t="s">
        <v>1246</v>
      </c>
      <c r="G931">
        <v>73</v>
      </c>
      <c r="H931" t="s">
        <v>1330</v>
      </c>
      <c r="I931" t="s">
        <v>1331</v>
      </c>
      <c r="J931" t="s">
        <v>135</v>
      </c>
      <c r="K931" t="s">
        <v>40</v>
      </c>
      <c r="L931">
        <v>1</v>
      </c>
      <c r="M931" s="5">
        <v>3255</v>
      </c>
      <c r="N931" s="5">
        <f>+M931*1.3</f>
        <v>4231.5</v>
      </c>
      <c r="O931" s="2">
        <f>+N931-M931</f>
        <v>976.5</v>
      </c>
    </row>
    <row r="932" spans="1:15" x14ac:dyDescent="0.2">
      <c r="A932" t="s">
        <v>88</v>
      </c>
      <c r="B932">
        <v>2</v>
      </c>
      <c r="C932" t="s">
        <v>14</v>
      </c>
      <c r="D932" t="s">
        <v>89</v>
      </c>
      <c r="E932" t="s">
        <v>868</v>
      </c>
      <c r="F932" t="s">
        <v>1246</v>
      </c>
      <c r="G932">
        <v>1</v>
      </c>
      <c r="H932" t="s">
        <v>1332</v>
      </c>
      <c r="I932" t="s">
        <v>1333</v>
      </c>
      <c r="J932" t="s">
        <v>1334</v>
      </c>
      <c r="K932" t="s">
        <v>1335</v>
      </c>
      <c r="L932">
        <v>1</v>
      </c>
      <c r="M932" s="5">
        <v>110450</v>
      </c>
      <c r="N932" s="5">
        <f>+M932*1.3</f>
        <v>143585</v>
      </c>
      <c r="O932" s="2">
        <f>+N932-M932</f>
        <v>33135</v>
      </c>
    </row>
    <row r="933" spans="1:15" x14ac:dyDescent="0.2">
      <c r="A933" t="s">
        <v>35</v>
      </c>
      <c r="B933">
        <v>3</v>
      </c>
      <c r="C933" t="s">
        <v>14</v>
      </c>
      <c r="D933" t="s">
        <v>36</v>
      </c>
      <c r="E933" t="s">
        <v>868</v>
      </c>
      <c r="F933" t="s">
        <v>1246</v>
      </c>
      <c r="G933">
        <v>4</v>
      </c>
      <c r="H933" t="s">
        <v>1336</v>
      </c>
      <c r="I933" t="s">
        <v>1337</v>
      </c>
      <c r="J933" t="s">
        <v>135</v>
      </c>
      <c r="K933" t="s">
        <v>40</v>
      </c>
      <c r="L933">
        <v>1</v>
      </c>
      <c r="M933" s="5">
        <v>3047</v>
      </c>
      <c r="N933" s="5">
        <f>+M933*1.3</f>
        <v>3961.1</v>
      </c>
      <c r="O933" s="2">
        <f>+N933-M933</f>
        <v>914.09999999999991</v>
      </c>
    </row>
    <row r="934" spans="1:15" x14ac:dyDescent="0.2">
      <c r="A934" t="s">
        <v>41</v>
      </c>
      <c r="B934">
        <v>3</v>
      </c>
      <c r="C934" t="s">
        <v>14</v>
      </c>
      <c r="D934" t="s">
        <v>36</v>
      </c>
      <c r="E934" t="s">
        <v>868</v>
      </c>
      <c r="F934" t="s">
        <v>1246</v>
      </c>
      <c r="G934">
        <v>4</v>
      </c>
      <c r="H934" t="s">
        <v>1336</v>
      </c>
      <c r="I934" t="s">
        <v>1337</v>
      </c>
      <c r="J934" t="s">
        <v>135</v>
      </c>
      <c r="K934" t="s">
        <v>40</v>
      </c>
      <c r="L934">
        <v>1</v>
      </c>
      <c r="M934" s="5">
        <v>3047</v>
      </c>
      <c r="N934" s="5">
        <f>+M934*1.3</f>
        <v>3961.1</v>
      </c>
      <c r="O934" s="2">
        <f>+N934-M934</f>
        <v>914.09999999999991</v>
      </c>
    </row>
    <row r="935" spans="1:15" x14ac:dyDescent="0.2">
      <c r="A935" t="s">
        <v>21</v>
      </c>
      <c r="B935">
        <v>1</v>
      </c>
      <c r="C935" t="s">
        <v>14</v>
      </c>
      <c r="D935" t="s">
        <v>36</v>
      </c>
      <c r="E935" t="s">
        <v>868</v>
      </c>
      <c r="F935" t="s">
        <v>1246</v>
      </c>
      <c r="G935">
        <v>4</v>
      </c>
      <c r="H935" t="s">
        <v>1336</v>
      </c>
      <c r="I935" t="s">
        <v>1337</v>
      </c>
      <c r="J935" t="s">
        <v>135</v>
      </c>
      <c r="K935" t="s">
        <v>40</v>
      </c>
      <c r="L935">
        <v>1</v>
      </c>
      <c r="M935" s="5">
        <v>3047</v>
      </c>
      <c r="N935" s="5">
        <f>+M935*1.3</f>
        <v>3961.1</v>
      </c>
      <c r="O935" s="2">
        <f>+N935-M935</f>
        <v>914.09999999999991</v>
      </c>
    </row>
    <row r="936" spans="1:15" x14ac:dyDescent="0.2">
      <c r="A936" t="s">
        <v>28</v>
      </c>
      <c r="B936">
        <v>3</v>
      </c>
      <c r="C936" t="s">
        <v>14</v>
      </c>
      <c r="D936" t="s">
        <v>36</v>
      </c>
      <c r="E936" t="s">
        <v>868</v>
      </c>
      <c r="F936" t="s">
        <v>1246</v>
      </c>
      <c r="G936">
        <v>4</v>
      </c>
      <c r="H936" t="s">
        <v>1336</v>
      </c>
      <c r="I936" t="s">
        <v>1337</v>
      </c>
      <c r="J936" t="s">
        <v>135</v>
      </c>
      <c r="K936" t="s">
        <v>40</v>
      </c>
      <c r="L936">
        <v>1</v>
      </c>
      <c r="M936" s="5">
        <v>3047</v>
      </c>
      <c r="N936" s="5">
        <f>+M936*1.3</f>
        <v>3961.1</v>
      </c>
      <c r="O936" s="2">
        <f>+N936-M936</f>
        <v>914.09999999999991</v>
      </c>
    </row>
    <row r="937" spans="1:15" x14ac:dyDescent="0.2">
      <c r="A937" t="s">
        <v>35</v>
      </c>
      <c r="B937">
        <v>3</v>
      </c>
      <c r="C937" t="s">
        <v>14</v>
      </c>
      <c r="D937" t="s">
        <v>36</v>
      </c>
      <c r="E937" t="s">
        <v>868</v>
      </c>
      <c r="F937" t="s">
        <v>1246</v>
      </c>
      <c r="G937">
        <v>6</v>
      </c>
      <c r="H937" t="s">
        <v>1338</v>
      </c>
      <c r="I937" t="s">
        <v>1339</v>
      </c>
      <c r="J937" t="s">
        <v>135</v>
      </c>
      <c r="K937" t="s">
        <v>40</v>
      </c>
      <c r="L937">
        <v>1</v>
      </c>
      <c r="M937" s="5">
        <v>3199</v>
      </c>
      <c r="N937" s="5">
        <f>+M937*1.3</f>
        <v>4158.7</v>
      </c>
      <c r="O937" s="2">
        <f>+N937-M937</f>
        <v>959.69999999999982</v>
      </c>
    </row>
    <row r="938" spans="1:15" x14ac:dyDescent="0.2">
      <c r="A938" t="s">
        <v>41</v>
      </c>
      <c r="B938">
        <v>3</v>
      </c>
      <c r="C938" t="s">
        <v>14</v>
      </c>
      <c r="D938" t="s">
        <v>36</v>
      </c>
      <c r="E938" t="s">
        <v>868</v>
      </c>
      <c r="F938" t="s">
        <v>1246</v>
      </c>
      <c r="G938">
        <v>6</v>
      </c>
      <c r="H938" t="s">
        <v>1338</v>
      </c>
      <c r="I938" t="s">
        <v>1339</v>
      </c>
      <c r="J938" t="s">
        <v>135</v>
      </c>
      <c r="K938" t="s">
        <v>40</v>
      </c>
      <c r="L938">
        <v>1</v>
      </c>
      <c r="M938" s="5">
        <v>3199</v>
      </c>
      <c r="N938" s="5">
        <f>+M938*1.3</f>
        <v>4158.7</v>
      </c>
      <c r="O938" s="2">
        <f>+N938-M938</f>
        <v>959.69999999999982</v>
      </c>
    </row>
    <row r="939" spans="1:15" x14ac:dyDescent="0.2">
      <c r="A939" t="s">
        <v>21</v>
      </c>
      <c r="B939">
        <v>1</v>
      </c>
      <c r="C939" t="s">
        <v>14</v>
      </c>
      <c r="D939" t="s">
        <v>36</v>
      </c>
      <c r="E939" t="s">
        <v>868</v>
      </c>
      <c r="F939" t="s">
        <v>1246</v>
      </c>
      <c r="G939">
        <v>6</v>
      </c>
      <c r="H939" t="s">
        <v>1338</v>
      </c>
      <c r="I939" t="s">
        <v>1339</v>
      </c>
      <c r="J939" t="s">
        <v>135</v>
      </c>
      <c r="K939" t="s">
        <v>40</v>
      </c>
      <c r="L939">
        <v>1</v>
      </c>
      <c r="M939" s="5">
        <v>3199</v>
      </c>
      <c r="N939" s="5">
        <f>+M939*1.3</f>
        <v>4158.7</v>
      </c>
      <c r="O939" s="2">
        <f>+N939-M939</f>
        <v>959.69999999999982</v>
      </c>
    </row>
    <row r="940" spans="1:15" x14ac:dyDescent="0.2">
      <c r="A940" t="s">
        <v>28</v>
      </c>
      <c r="B940">
        <v>3</v>
      </c>
      <c r="C940" t="s">
        <v>14</v>
      </c>
      <c r="D940" t="s">
        <v>36</v>
      </c>
      <c r="E940" t="s">
        <v>868</v>
      </c>
      <c r="F940" t="s">
        <v>1246</v>
      </c>
      <c r="G940">
        <v>6</v>
      </c>
      <c r="H940" t="s">
        <v>1338</v>
      </c>
      <c r="I940" t="s">
        <v>1339</v>
      </c>
      <c r="J940" t="s">
        <v>135</v>
      </c>
      <c r="K940" t="s">
        <v>40</v>
      </c>
      <c r="L940">
        <v>1</v>
      </c>
      <c r="M940" s="5">
        <v>3199</v>
      </c>
      <c r="N940" s="5">
        <f>+M940*1.3</f>
        <v>4158.7</v>
      </c>
      <c r="O940" s="2">
        <f>+N940-M940</f>
        <v>959.69999999999982</v>
      </c>
    </row>
    <row r="941" spans="1:15" x14ac:dyDescent="0.2">
      <c r="A941" t="s">
        <v>88</v>
      </c>
      <c r="B941">
        <v>1</v>
      </c>
      <c r="C941" t="s">
        <v>1157</v>
      </c>
      <c r="D941" t="s">
        <v>89</v>
      </c>
      <c r="E941" t="s">
        <v>1340</v>
      </c>
      <c r="F941" t="s">
        <v>1341</v>
      </c>
      <c r="G941">
        <v>18</v>
      </c>
      <c r="H941" t="s">
        <v>1342</v>
      </c>
      <c r="I941" t="s">
        <v>1343</v>
      </c>
      <c r="J941" t="s">
        <v>872</v>
      </c>
      <c r="K941" t="s">
        <v>872</v>
      </c>
      <c r="L941">
        <v>1</v>
      </c>
      <c r="M941" s="5">
        <v>31500</v>
      </c>
      <c r="N941" s="5">
        <f>+M941*1.3</f>
        <v>40950</v>
      </c>
      <c r="O941" s="2">
        <f>+N941-M941</f>
        <v>9450</v>
      </c>
    </row>
    <row r="942" spans="1:15" x14ac:dyDescent="0.2">
      <c r="A942" t="s">
        <v>88</v>
      </c>
      <c r="B942">
        <v>1</v>
      </c>
      <c r="C942" t="s">
        <v>1157</v>
      </c>
      <c r="D942" t="s">
        <v>89</v>
      </c>
      <c r="E942" t="s">
        <v>1340</v>
      </c>
      <c r="F942" t="s">
        <v>1341</v>
      </c>
      <c r="G942">
        <v>18</v>
      </c>
      <c r="H942" t="s">
        <v>1344</v>
      </c>
      <c r="I942" t="s">
        <v>1345</v>
      </c>
      <c r="J942" t="s">
        <v>872</v>
      </c>
      <c r="K942" t="s">
        <v>872</v>
      </c>
      <c r="L942">
        <v>1</v>
      </c>
      <c r="M942" s="5">
        <v>31500</v>
      </c>
      <c r="N942" s="5">
        <f>+M942*1.3</f>
        <v>40950</v>
      </c>
      <c r="O942" s="2">
        <f>+N942-M942</f>
        <v>9450</v>
      </c>
    </row>
    <row r="943" spans="1:15" x14ac:dyDescent="0.2">
      <c r="A943" t="s">
        <v>88</v>
      </c>
      <c r="B943">
        <v>1</v>
      </c>
      <c r="C943" t="s">
        <v>1157</v>
      </c>
      <c r="D943" t="s">
        <v>89</v>
      </c>
      <c r="E943" t="s">
        <v>1340</v>
      </c>
      <c r="F943" t="s">
        <v>1341</v>
      </c>
      <c r="G943">
        <v>18</v>
      </c>
      <c r="H943" t="s">
        <v>1346</v>
      </c>
      <c r="I943" t="s">
        <v>1347</v>
      </c>
      <c r="J943" t="s">
        <v>872</v>
      </c>
      <c r="K943" t="s">
        <v>872</v>
      </c>
      <c r="L943">
        <v>1</v>
      </c>
      <c r="M943" s="5">
        <v>31500</v>
      </c>
      <c r="N943" s="5">
        <f>+M943*1.3</f>
        <v>40950</v>
      </c>
      <c r="O943" s="2">
        <f>+N943-M943</f>
        <v>9450</v>
      </c>
    </row>
    <row r="944" spans="1:15" x14ac:dyDescent="0.2">
      <c r="A944" t="s">
        <v>13</v>
      </c>
      <c r="B944">
        <v>1</v>
      </c>
      <c r="C944" t="s">
        <v>1157</v>
      </c>
      <c r="D944" t="s">
        <v>1348</v>
      </c>
      <c r="E944" t="s">
        <v>1340</v>
      </c>
      <c r="F944" t="s">
        <v>1341</v>
      </c>
      <c r="G944">
        <v>1</v>
      </c>
      <c r="H944" t="s">
        <v>1349</v>
      </c>
      <c r="I944" t="s">
        <v>1350</v>
      </c>
      <c r="J944" t="s">
        <v>872</v>
      </c>
      <c r="K944" t="s">
        <v>872</v>
      </c>
      <c r="L944">
        <v>1</v>
      </c>
      <c r="M944" s="5">
        <v>33500</v>
      </c>
      <c r="N944" s="5">
        <f>+M944*1.3</f>
        <v>43550</v>
      </c>
      <c r="O944" s="2">
        <f>+N944-M944</f>
        <v>10050</v>
      </c>
    </row>
    <row r="945" spans="1:15" x14ac:dyDescent="0.2">
      <c r="A945" t="s">
        <v>21</v>
      </c>
      <c r="B945">
        <v>1</v>
      </c>
      <c r="C945" t="s">
        <v>1157</v>
      </c>
      <c r="D945" t="s">
        <v>1348</v>
      </c>
      <c r="E945" t="s">
        <v>1340</v>
      </c>
      <c r="F945" t="s">
        <v>1341</v>
      </c>
      <c r="G945">
        <v>1</v>
      </c>
      <c r="H945" t="s">
        <v>1349</v>
      </c>
      <c r="I945" t="s">
        <v>1350</v>
      </c>
      <c r="J945" t="s">
        <v>872</v>
      </c>
      <c r="K945" t="s">
        <v>872</v>
      </c>
      <c r="L945">
        <v>1</v>
      </c>
      <c r="M945" s="5">
        <v>33500</v>
      </c>
      <c r="N945" s="5">
        <f>+M945*1.3</f>
        <v>43550</v>
      </c>
      <c r="O945" s="2">
        <f>+N945-M945</f>
        <v>10050</v>
      </c>
    </row>
    <row r="946" spans="1:15" x14ac:dyDescent="0.2">
      <c r="A946" t="s">
        <v>13</v>
      </c>
      <c r="B946">
        <v>1</v>
      </c>
      <c r="C946" t="s">
        <v>1157</v>
      </c>
      <c r="D946" t="s">
        <v>1348</v>
      </c>
      <c r="E946" t="s">
        <v>1340</v>
      </c>
      <c r="F946" t="s">
        <v>1341</v>
      </c>
      <c r="G946">
        <v>1</v>
      </c>
      <c r="H946" t="s">
        <v>1351</v>
      </c>
      <c r="I946" t="s">
        <v>1352</v>
      </c>
      <c r="J946" t="s">
        <v>872</v>
      </c>
      <c r="K946" t="s">
        <v>872</v>
      </c>
      <c r="L946">
        <v>1</v>
      </c>
      <c r="M946" s="5">
        <v>33500</v>
      </c>
      <c r="N946" s="5">
        <f>+M946*1.3</f>
        <v>43550</v>
      </c>
      <c r="O946" s="2">
        <f>+N946-M946</f>
        <v>10050</v>
      </c>
    </row>
    <row r="947" spans="1:15" x14ac:dyDescent="0.2">
      <c r="A947" t="s">
        <v>21</v>
      </c>
      <c r="B947">
        <v>1</v>
      </c>
      <c r="C947" t="s">
        <v>1157</v>
      </c>
      <c r="D947" t="s">
        <v>1348</v>
      </c>
      <c r="E947" t="s">
        <v>1340</v>
      </c>
      <c r="F947" t="s">
        <v>1341</v>
      </c>
      <c r="G947">
        <v>1</v>
      </c>
      <c r="H947" t="s">
        <v>1351</v>
      </c>
      <c r="I947" t="s">
        <v>1352</v>
      </c>
      <c r="J947" t="s">
        <v>872</v>
      </c>
      <c r="K947" t="s">
        <v>872</v>
      </c>
      <c r="L947">
        <v>1</v>
      </c>
      <c r="M947" s="5">
        <v>33500</v>
      </c>
      <c r="N947" s="5">
        <f>+M947*1.3</f>
        <v>43550</v>
      </c>
      <c r="O947" s="2">
        <f>+N947-M947</f>
        <v>10050</v>
      </c>
    </row>
    <row r="948" spans="1:15" x14ac:dyDescent="0.2">
      <c r="A948" t="s">
        <v>13</v>
      </c>
      <c r="B948">
        <v>1</v>
      </c>
      <c r="C948" t="s">
        <v>1157</v>
      </c>
      <c r="D948" t="s">
        <v>1348</v>
      </c>
      <c r="E948" t="s">
        <v>1340</v>
      </c>
      <c r="F948" t="s">
        <v>1341</v>
      </c>
      <c r="G948">
        <v>1</v>
      </c>
      <c r="H948" t="s">
        <v>1353</v>
      </c>
      <c r="I948" t="s">
        <v>1354</v>
      </c>
      <c r="J948" t="s">
        <v>872</v>
      </c>
      <c r="K948" t="s">
        <v>872</v>
      </c>
      <c r="L948">
        <v>1</v>
      </c>
      <c r="M948" s="5">
        <v>33500</v>
      </c>
      <c r="N948" s="5">
        <f>+M948*1.3</f>
        <v>43550</v>
      </c>
      <c r="O948" s="2">
        <f>+N948-M948</f>
        <v>10050</v>
      </c>
    </row>
    <row r="949" spans="1:15" x14ac:dyDescent="0.2">
      <c r="A949" t="s">
        <v>21</v>
      </c>
      <c r="B949">
        <v>1</v>
      </c>
      <c r="C949" t="s">
        <v>1157</v>
      </c>
      <c r="D949" t="s">
        <v>1348</v>
      </c>
      <c r="E949" t="s">
        <v>1340</v>
      </c>
      <c r="F949" t="s">
        <v>1341</v>
      </c>
      <c r="G949">
        <v>1</v>
      </c>
      <c r="H949" t="s">
        <v>1353</v>
      </c>
      <c r="I949" t="s">
        <v>1354</v>
      </c>
      <c r="J949" t="s">
        <v>872</v>
      </c>
      <c r="K949" t="s">
        <v>872</v>
      </c>
      <c r="L949">
        <v>1</v>
      </c>
      <c r="M949" s="5">
        <v>33500</v>
      </c>
      <c r="N949" s="5">
        <f>+M949*1.3</f>
        <v>43550</v>
      </c>
      <c r="O949" s="2">
        <f>+N949-M949</f>
        <v>10050</v>
      </c>
    </row>
    <row r="950" spans="1:15" x14ac:dyDescent="0.2">
      <c r="A950" t="s">
        <v>13</v>
      </c>
      <c r="B950">
        <v>1</v>
      </c>
      <c r="C950" t="s">
        <v>1157</v>
      </c>
      <c r="D950" t="s">
        <v>1348</v>
      </c>
      <c r="E950" t="s">
        <v>1340</v>
      </c>
      <c r="F950" t="s">
        <v>1341</v>
      </c>
      <c r="G950">
        <v>2</v>
      </c>
      <c r="H950" t="s">
        <v>1355</v>
      </c>
      <c r="I950" t="s">
        <v>1356</v>
      </c>
      <c r="J950" t="s">
        <v>872</v>
      </c>
      <c r="K950" t="s">
        <v>872</v>
      </c>
      <c r="L950">
        <v>1</v>
      </c>
      <c r="M950" s="5">
        <v>37990</v>
      </c>
      <c r="N950" s="5">
        <f>+M950*1.3</f>
        <v>49387</v>
      </c>
      <c r="O950" s="2">
        <f>+N950-M950</f>
        <v>11397</v>
      </c>
    </row>
    <row r="951" spans="1:15" x14ac:dyDescent="0.2">
      <c r="A951" t="s">
        <v>21</v>
      </c>
      <c r="B951">
        <v>1</v>
      </c>
      <c r="C951" t="s">
        <v>1157</v>
      </c>
      <c r="D951" t="s">
        <v>1348</v>
      </c>
      <c r="E951" t="s">
        <v>1340</v>
      </c>
      <c r="F951" t="s">
        <v>1341</v>
      </c>
      <c r="G951">
        <v>2</v>
      </c>
      <c r="H951" t="s">
        <v>1355</v>
      </c>
      <c r="I951" t="s">
        <v>1356</v>
      </c>
      <c r="J951" t="s">
        <v>872</v>
      </c>
      <c r="K951" t="s">
        <v>872</v>
      </c>
      <c r="L951">
        <v>1</v>
      </c>
      <c r="M951" s="5">
        <v>37990</v>
      </c>
      <c r="N951" s="5">
        <f>+M951*1.3</f>
        <v>49387</v>
      </c>
      <c r="O951" s="2">
        <f>+N951-M951</f>
        <v>11397</v>
      </c>
    </row>
    <row r="952" spans="1:15" x14ac:dyDescent="0.2">
      <c r="A952" t="s">
        <v>13</v>
      </c>
      <c r="B952">
        <v>1</v>
      </c>
      <c r="C952" t="s">
        <v>1157</v>
      </c>
      <c r="D952" t="s">
        <v>1348</v>
      </c>
      <c r="E952" t="s">
        <v>1340</v>
      </c>
      <c r="F952" t="s">
        <v>1341</v>
      </c>
      <c r="G952">
        <v>2</v>
      </c>
      <c r="H952" t="s">
        <v>1357</v>
      </c>
      <c r="I952" t="s">
        <v>1358</v>
      </c>
      <c r="J952" t="s">
        <v>872</v>
      </c>
      <c r="K952" t="s">
        <v>872</v>
      </c>
      <c r="L952">
        <v>1</v>
      </c>
      <c r="M952" s="5">
        <v>37990</v>
      </c>
      <c r="N952" s="5">
        <f>+M952*1.3</f>
        <v>49387</v>
      </c>
      <c r="O952" s="2">
        <f>+N952-M952</f>
        <v>11397</v>
      </c>
    </row>
    <row r="953" spans="1:15" x14ac:dyDescent="0.2">
      <c r="A953" t="s">
        <v>21</v>
      </c>
      <c r="B953">
        <v>1</v>
      </c>
      <c r="C953" t="s">
        <v>1157</v>
      </c>
      <c r="D953" t="s">
        <v>1348</v>
      </c>
      <c r="E953" t="s">
        <v>1340</v>
      </c>
      <c r="F953" t="s">
        <v>1341</v>
      </c>
      <c r="G953">
        <v>2</v>
      </c>
      <c r="H953" t="s">
        <v>1357</v>
      </c>
      <c r="I953" t="s">
        <v>1358</v>
      </c>
      <c r="J953" t="s">
        <v>872</v>
      </c>
      <c r="K953" t="s">
        <v>872</v>
      </c>
      <c r="L953">
        <v>1</v>
      </c>
      <c r="M953" s="5">
        <v>37990</v>
      </c>
      <c r="N953" s="5">
        <f>+M953*1.3</f>
        <v>49387</v>
      </c>
      <c r="O953" s="2">
        <f>+N953-M953</f>
        <v>11397</v>
      </c>
    </row>
    <row r="954" spans="1:15" x14ac:dyDescent="0.2">
      <c r="A954" t="s">
        <v>13</v>
      </c>
      <c r="B954">
        <v>1</v>
      </c>
      <c r="C954" t="s">
        <v>1157</v>
      </c>
      <c r="D954" t="s">
        <v>1359</v>
      </c>
      <c r="E954" t="s">
        <v>1340</v>
      </c>
      <c r="F954" t="s">
        <v>1341</v>
      </c>
      <c r="G954">
        <v>1</v>
      </c>
      <c r="H954" t="s">
        <v>1360</v>
      </c>
      <c r="I954" t="s">
        <v>1361</v>
      </c>
      <c r="J954" t="s">
        <v>872</v>
      </c>
      <c r="K954" t="s">
        <v>872</v>
      </c>
      <c r="L954">
        <v>1</v>
      </c>
      <c r="M954" s="5">
        <v>40500</v>
      </c>
      <c r="N954" s="5">
        <f>+M954*1.3</f>
        <v>52650</v>
      </c>
      <c r="O954" s="2">
        <f>+N954-M954</f>
        <v>12150</v>
      </c>
    </row>
    <row r="955" spans="1:15" x14ac:dyDescent="0.2">
      <c r="A955" t="s">
        <v>21</v>
      </c>
      <c r="B955">
        <v>1</v>
      </c>
      <c r="C955" t="s">
        <v>1157</v>
      </c>
      <c r="D955" t="s">
        <v>1359</v>
      </c>
      <c r="E955" t="s">
        <v>1340</v>
      </c>
      <c r="F955" t="s">
        <v>1341</v>
      </c>
      <c r="G955">
        <v>1</v>
      </c>
      <c r="H955" t="s">
        <v>1360</v>
      </c>
      <c r="I955" t="s">
        <v>1361</v>
      </c>
      <c r="J955" t="s">
        <v>872</v>
      </c>
      <c r="K955" t="s">
        <v>872</v>
      </c>
      <c r="L955">
        <v>1</v>
      </c>
      <c r="M955" s="5">
        <v>40500</v>
      </c>
      <c r="N955" s="5">
        <f>+M955*1.3</f>
        <v>52650</v>
      </c>
      <c r="O955" s="2">
        <f>+N955-M955</f>
        <v>12150</v>
      </c>
    </row>
    <row r="956" spans="1:15" x14ac:dyDescent="0.2">
      <c r="A956" t="s">
        <v>13</v>
      </c>
      <c r="B956">
        <v>1</v>
      </c>
      <c r="C956" t="s">
        <v>1157</v>
      </c>
      <c r="D956" t="s">
        <v>1359</v>
      </c>
      <c r="E956" t="s">
        <v>1340</v>
      </c>
      <c r="F956" t="s">
        <v>1341</v>
      </c>
      <c r="G956">
        <v>1</v>
      </c>
      <c r="H956" t="s">
        <v>1362</v>
      </c>
      <c r="I956" t="s">
        <v>1363</v>
      </c>
      <c r="J956" t="s">
        <v>872</v>
      </c>
      <c r="K956" t="s">
        <v>872</v>
      </c>
      <c r="L956">
        <v>1</v>
      </c>
      <c r="M956" s="5">
        <v>40500</v>
      </c>
      <c r="N956" s="5">
        <f>+M956*1.3</f>
        <v>52650</v>
      </c>
      <c r="O956" s="2">
        <f>+N956-M956</f>
        <v>12150</v>
      </c>
    </row>
    <row r="957" spans="1:15" x14ac:dyDescent="0.2">
      <c r="A957" t="s">
        <v>21</v>
      </c>
      <c r="B957">
        <v>1</v>
      </c>
      <c r="C957" t="s">
        <v>1157</v>
      </c>
      <c r="D957" t="s">
        <v>1359</v>
      </c>
      <c r="E957" t="s">
        <v>1340</v>
      </c>
      <c r="F957" t="s">
        <v>1341</v>
      </c>
      <c r="G957">
        <v>1</v>
      </c>
      <c r="H957" t="s">
        <v>1362</v>
      </c>
      <c r="I957" t="s">
        <v>1363</v>
      </c>
      <c r="J957" t="s">
        <v>872</v>
      </c>
      <c r="K957" t="s">
        <v>872</v>
      </c>
      <c r="L957">
        <v>1</v>
      </c>
      <c r="M957" s="5">
        <v>40500</v>
      </c>
      <c r="N957" s="5">
        <f>+M957*1.3</f>
        <v>52650</v>
      </c>
      <c r="O957" s="2">
        <f>+N957-M957</f>
        <v>12150</v>
      </c>
    </row>
    <row r="958" spans="1:15" x14ac:dyDescent="0.2">
      <c r="A958" t="s">
        <v>13</v>
      </c>
      <c r="B958">
        <v>1</v>
      </c>
      <c r="C958" t="s">
        <v>1157</v>
      </c>
      <c r="D958" t="s">
        <v>1364</v>
      </c>
      <c r="E958" t="s">
        <v>1340</v>
      </c>
      <c r="F958" t="s">
        <v>1341</v>
      </c>
      <c r="G958">
        <v>2</v>
      </c>
      <c r="H958" t="s">
        <v>1365</v>
      </c>
      <c r="I958" t="s">
        <v>1366</v>
      </c>
      <c r="J958" t="s">
        <v>872</v>
      </c>
      <c r="K958" t="s">
        <v>872</v>
      </c>
      <c r="L958">
        <v>1</v>
      </c>
      <c r="M958" s="5">
        <v>68500</v>
      </c>
      <c r="N958" s="5">
        <f>+M958*1.3</f>
        <v>89050</v>
      </c>
      <c r="O958" s="2">
        <f>+N958-M958</f>
        <v>20550</v>
      </c>
    </row>
    <row r="959" spans="1:15" x14ac:dyDescent="0.2">
      <c r="A959" t="s">
        <v>21</v>
      </c>
      <c r="B959">
        <v>1</v>
      </c>
      <c r="C959" t="s">
        <v>1157</v>
      </c>
      <c r="D959" t="s">
        <v>1364</v>
      </c>
      <c r="E959" t="s">
        <v>1340</v>
      </c>
      <c r="F959" t="s">
        <v>1341</v>
      </c>
      <c r="G959">
        <v>2</v>
      </c>
      <c r="H959" t="s">
        <v>1365</v>
      </c>
      <c r="I959" t="s">
        <v>1366</v>
      </c>
      <c r="J959" t="s">
        <v>872</v>
      </c>
      <c r="K959" t="s">
        <v>872</v>
      </c>
      <c r="L959">
        <v>1</v>
      </c>
      <c r="M959" s="5">
        <v>68500</v>
      </c>
      <c r="N959" s="5">
        <f>+M959*1.3</f>
        <v>89050</v>
      </c>
      <c r="O959" s="2">
        <f>+N959-M959</f>
        <v>20550</v>
      </c>
    </row>
    <row r="960" spans="1:15" x14ac:dyDescent="0.2">
      <c r="A960" t="s">
        <v>13</v>
      </c>
      <c r="B960">
        <v>1</v>
      </c>
      <c r="C960" t="s">
        <v>1157</v>
      </c>
      <c r="D960" t="s">
        <v>1367</v>
      </c>
      <c r="E960" t="s">
        <v>1340</v>
      </c>
      <c r="F960" t="s">
        <v>1341</v>
      </c>
      <c r="G960">
        <v>1</v>
      </c>
      <c r="H960" t="s">
        <v>1368</v>
      </c>
      <c r="I960" t="s">
        <v>1369</v>
      </c>
      <c r="J960" t="s">
        <v>872</v>
      </c>
      <c r="K960" t="s">
        <v>872</v>
      </c>
      <c r="L960">
        <v>1</v>
      </c>
      <c r="M960" s="5">
        <v>31500</v>
      </c>
      <c r="N960" s="5">
        <f>+M960*1.3</f>
        <v>40950</v>
      </c>
      <c r="O960" s="2">
        <f>+N960-M960</f>
        <v>9450</v>
      </c>
    </row>
    <row r="961" spans="1:15" x14ac:dyDescent="0.2">
      <c r="A961" t="s">
        <v>21</v>
      </c>
      <c r="B961">
        <v>1</v>
      </c>
      <c r="C961" t="s">
        <v>1157</v>
      </c>
      <c r="D961" t="s">
        <v>1367</v>
      </c>
      <c r="E961" t="s">
        <v>1340</v>
      </c>
      <c r="F961" t="s">
        <v>1341</v>
      </c>
      <c r="G961">
        <v>1</v>
      </c>
      <c r="H961" t="s">
        <v>1368</v>
      </c>
      <c r="I961" t="s">
        <v>1369</v>
      </c>
      <c r="J961" t="s">
        <v>872</v>
      </c>
      <c r="K961" t="s">
        <v>872</v>
      </c>
      <c r="L961">
        <v>1</v>
      </c>
      <c r="M961" s="5">
        <v>31500</v>
      </c>
      <c r="N961" s="5">
        <f>+M961*1.3</f>
        <v>40950</v>
      </c>
      <c r="O961" s="2">
        <f>+N961-M961</f>
        <v>9450</v>
      </c>
    </row>
    <row r="962" spans="1:15" x14ac:dyDescent="0.2">
      <c r="A962" t="s">
        <v>13</v>
      </c>
      <c r="B962">
        <v>1</v>
      </c>
      <c r="C962" t="s">
        <v>1157</v>
      </c>
      <c r="D962" t="s">
        <v>1367</v>
      </c>
      <c r="E962" t="s">
        <v>1340</v>
      </c>
      <c r="F962" t="s">
        <v>1341</v>
      </c>
      <c r="G962">
        <v>2</v>
      </c>
      <c r="H962" t="s">
        <v>1370</v>
      </c>
      <c r="I962" t="s">
        <v>1371</v>
      </c>
      <c r="J962" t="s">
        <v>872</v>
      </c>
      <c r="K962" t="s">
        <v>872</v>
      </c>
      <c r="L962">
        <v>1</v>
      </c>
      <c r="M962" s="5">
        <v>31990</v>
      </c>
      <c r="N962" s="5">
        <f>+M962*1.3</f>
        <v>41587</v>
      </c>
      <c r="O962" s="2">
        <f>+N962-M962</f>
        <v>9597</v>
      </c>
    </row>
    <row r="963" spans="1:15" x14ac:dyDescent="0.2">
      <c r="A963" t="s">
        <v>21</v>
      </c>
      <c r="B963">
        <v>1</v>
      </c>
      <c r="C963" t="s">
        <v>1157</v>
      </c>
      <c r="D963" t="s">
        <v>1367</v>
      </c>
      <c r="E963" t="s">
        <v>1340</v>
      </c>
      <c r="F963" t="s">
        <v>1341</v>
      </c>
      <c r="G963">
        <v>2</v>
      </c>
      <c r="H963" t="s">
        <v>1370</v>
      </c>
      <c r="I963" t="s">
        <v>1371</v>
      </c>
      <c r="J963" t="s">
        <v>872</v>
      </c>
      <c r="K963" t="s">
        <v>872</v>
      </c>
      <c r="L963">
        <v>1</v>
      </c>
      <c r="M963" s="5">
        <v>31990</v>
      </c>
      <c r="N963" s="5">
        <f>+M963*1.3</f>
        <v>41587</v>
      </c>
      <c r="O963" s="2">
        <f>+N963-M963</f>
        <v>9597</v>
      </c>
    </row>
    <row r="964" spans="1:15" x14ac:dyDescent="0.2">
      <c r="A964" t="s">
        <v>13</v>
      </c>
      <c r="B964">
        <v>1</v>
      </c>
      <c r="C964" t="s">
        <v>1157</v>
      </c>
      <c r="D964" t="s">
        <v>1367</v>
      </c>
      <c r="E964" t="s">
        <v>1340</v>
      </c>
      <c r="F964" t="s">
        <v>1341</v>
      </c>
      <c r="G964">
        <v>3</v>
      </c>
      <c r="H964" t="s">
        <v>1372</v>
      </c>
      <c r="I964" t="s">
        <v>1373</v>
      </c>
      <c r="J964" t="s">
        <v>872</v>
      </c>
      <c r="K964" t="s">
        <v>872</v>
      </c>
      <c r="L964">
        <v>1</v>
      </c>
      <c r="M964" s="5">
        <v>40990</v>
      </c>
      <c r="N964" s="5">
        <f>+M964*1.3</f>
        <v>53287</v>
      </c>
      <c r="O964" s="2">
        <f>+N964-M964</f>
        <v>12297</v>
      </c>
    </row>
    <row r="965" spans="1:15" x14ac:dyDescent="0.2">
      <c r="A965" t="s">
        <v>21</v>
      </c>
      <c r="B965">
        <v>1</v>
      </c>
      <c r="C965" t="s">
        <v>1157</v>
      </c>
      <c r="D965" t="s">
        <v>1367</v>
      </c>
      <c r="E965" t="s">
        <v>1340</v>
      </c>
      <c r="F965" t="s">
        <v>1341</v>
      </c>
      <c r="G965">
        <v>3</v>
      </c>
      <c r="H965" t="s">
        <v>1372</v>
      </c>
      <c r="I965" t="s">
        <v>1373</v>
      </c>
      <c r="J965" t="s">
        <v>872</v>
      </c>
      <c r="K965" t="s">
        <v>872</v>
      </c>
      <c r="L965">
        <v>1</v>
      </c>
      <c r="M965" s="5">
        <v>40990</v>
      </c>
      <c r="N965" s="5">
        <f>+M965*1.3</f>
        <v>53287</v>
      </c>
      <c r="O965" s="2">
        <f>+N965-M965</f>
        <v>12297</v>
      </c>
    </row>
    <row r="966" spans="1:15" x14ac:dyDescent="0.2">
      <c r="A966" t="s">
        <v>13</v>
      </c>
      <c r="B966">
        <v>1</v>
      </c>
      <c r="C966" t="s">
        <v>1157</v>
      </c>
      <c r="D966" t="s">
        <v>1367</v>
      </c>
      <c r="E966" t="s">
        <v>1340</v>
      </c>
      <c r="F966" t="s">
        <v>1341</v>
      </c>
      <c r="G966">
        <v>3</v>
      </c>
      <c r="H966" t="s">
        <v>1374</v>
      </c>
      <c r="I966" t="s">
        <v>1375</v>
      </c>
      <c r="J966" t="s">
        <v>872</v>
      </c>
      <c r="K966" t="s">
        <v>872</v>
      </c>
      <c r="L966">
        <v>1</v>
      </c>
      <c r="M966" s="5">
        <v>40990</v>
      </c>
      <c r="N966" s="5">
        <f>+M966*1.3</f>
        <v>53287</v>
      </c>
      <c r="O966" s="2">
        <f>+N966-M966</f>
        <v>12297</v>
      </c>
    </row>
    <row r="967" spans="1:15" x14ac:dyDescent="0.2">
      <c r="A967" t="s">
        <v>21</v>
      </c>
      <c r="B967">
        <v>1</v>
      </c>
      <c r="C967" t="s">
        <v>1157</v>
      </c>
      <c r="D967" t="s">
        <v>1367</v>
      </c>
      <c r="E967" t="s">
        <v>1340</v>
      </c>
      <c r="F967" t="s">
        <v>1341</v>
      </c>
      <c r="G967">
        <v>3</v>
      </c>
      <c r="H967" t="s">
        <v>1374</v>
      </c>
      <c r="I967" t="s">
        <v>1375</v>
      </c>
      <c r="J967" t="s">
        <v>872</v>
      </c>
      <c r="K967" t="s">
        <v>872</v>
      </c>
      <c r="L967">
        <v>1</v>
      </c>
      <c r="M967" s="5">
        <v>40990</v>
      </c>
      <c r="N967" s="5">
        <f>+M967*1.3</f>
        <v>53287</v>
      </c>
      <c r="O967" s="2">
        <f>+N967-M967</f>
        <v>12297</v>
      </c>
    </row>
    <row r="968" spans="1:15" x14ac:dyDescent="0.2">
      <c r="A968" t="s">
        <v>13</v>
      </c>
      <c r="B968">
        <v>1</v>
      </c>
      <c r="C968" t="s">
        <v>1157</v>
      </c>
      <c r="D968" t="s">
        <v>1364</v>
      </c>
      <c r="E968" t="s">
        <v>1340</v>
      </c>
      <c r="F968" t="s">
        <v>1341</v>
      </c>
      <c r="G968">
        <v>1</v>
      </c>
      <c r="H968" t="s">
        <v>1376</v>
      </c>
      <c r="I968" t="s">
        <v>1377</v>
      </c>
      <c r="J968" t="s">
        <v>872</v>
      </c>
      <c r="K968" t="s">
        <v>872</v>
      </c>
      <c r="L968">
        <v>1</v>
      </c>
      <c r="M968" s="5">
        <v>43990</v>
      </c>
      <c r="N968" s="5">
        <f>+M968*1.3</f>
        <v>57187</v>
      </c>
      <c r="O968" s="2">
        <f>+N968-M968</f>
        <v>13197</v>
      </c>
    </row>
    <row r="969" spans="1:15" x14ac:dyDescent="0.2">
      <c r="A969" t="s">
        <v>21</v>
      </c>
      <c r="B969">
        <v>1</v>
      </c>
      <c r="C969" t="s">
        <v>1157</v>
      </c>
      <c r="D969" t="s">
        <v>1364</v>
      </c>
      <c r="E969" t="s">
        <v>1340</v>
      </c>
      <c r="F969" t="s">
        <v>1341</v>
      </c>
      <c r="G969">
        <v>1</v>
      </c>
      <c r="H969" t="s">
        <v>1376</v>
      </c>
      <c r="I969" t="s">
        <v>1377</v>
      </c>
      <c r="J969" t="s">
        <v>872</v>
      </c>
      <c r="K969" t="s">
        <v>872</v>
      </c>
      <c r="L969">
        <v>1</v>
      </c>
      <c r="M969" s="5">
        <v>43990</v>
      </c>
      <c r="N969" s="5">
        <f>+M969*1.3</f>
        <v>57187</v>
      </c>
      <c r="O969" s="2">
        <f>+N969-M969</f>
        <v>13197</v>
      </c>
    </row>
    <row r="970" spans="1:15" x14ac:dyDescent="0.2">
      <c r="A970" t="s">
        <v>13</v>
      </c>
      <c r="B970">
        <v>1</v>
      </c>
      <c r="C970" t="s">
        <v>1157</v>
      </c>
      <c r="D970" t="s">
        <v>1364</v>
      </c>
      <c r="E970" t="s">
        <v>1340</v>
      </c>
      <c r="F970" t="s">
        <v>1341</v>
      </c>
      <c r="G970">
        <v>1</v>
      </c>
      <c r="H970" t="s">
        <v>1378</v>
      </c>
      <c r="I970" t="s">
        <v>1379</v>
      </c>
      <c r="J970" t="s">
        <v>872</v>
      </c>
      <c r="K970" t="s">
        <v>872</v>
      </c>
      <c r="L970">
        <v>1</v>
      </c>
      <c r="M970" s="5">
        <v>43990</v>
      </c>
      <c r="N970" s="5">
        <f>+M970*1.3</f>
        <v>57187</v>
      </c>
      <c r="O970" s="2">
        <f>+N970-M970</f>
        <v>13197</v>
      </c>
    </row>
    <row r="971" spans="1:15" x14ac:dyDescent="0.2">
      <c r="A971" t="s">
        <v>21</v>
      </c>
      <c r="B971">
        <v>1</v>
      </c>
      <c r="C971" t="s">
        <v>1157</v>
      </c>
      <c r="D971" t="s">
        <v>1364</v>
      </c>
      <c r="E971" t="s">
        <v>1340</v>
      </c>
      <c r="F971" t="s">
        <v>1341</v>
      </c>
      <c r="G971">
        <v>1</v>
      </c>
      <c r="H971" t="s">
        <v>1378</v>
      </c>
      <c r="I971" t="s">
        <v>1379</v>
      </c>
      <c r="J971" t="s">
        <v>872</v>
      </c>
      <c r="K971" t="s">
        <v>872</v>
      </c>
      <c r="L971">
        <v>1</v>
      </c>
      <c r="M971" s="5">
        <v>43990</v>
      </c>
      <c r="N971" s="5">
        <f>+M971*1.3</f>
        <v>57187</v>
      </c>
      <c r="O971" s="2">
        <f>+N971-M971</f>
        <v>13197</v>
      </c>
    </row>
    <row r="972" spans="1:15" x14ac:dyDescent="0.2">
      <c r="A972" t="s">
        <v>13</v>
      </c>
      <c r="B972">
        <v>1</v>
      </c>
      <c r="C972" t="s">
        <v>1157</v>
      </c>
      <c r="D972" t="s">
        <v>1380</v>
      </c>
      <c r="E972" t="s">
        <v>1340</v>
      </c>
      <c r="F972" t="s">
        <v>1341</v>
      </c>
      <c r="G972">
        <v>1</v>
      </c>
      <c r="H972" t="s">
        <v>1381</v>
      </c>
      <c r="I972" t="s">
        <v>1382</v>
      </c>
      <c r="J972" t="s">
        <v>872</v>
      </c>
      <c r="K972" t="s">
        <v>872</v>
      </c>
      <c r="L972">
        <v>1</v>
      </c>
      <c r="M972" s="5">
        <v>43990</v>
      </c>
      <c r="N972" s="5">
        <f>+M972*1.3</f>
        <v>57187</v>
      </c>
      <c r="O972" s="2">
        <f>+N972-M972</f>
        <v>13197</v>
      </c>
    </row>
    <row r="973" spans="1:15" x14ac:dyDescent="0.2">
      <c r="A973" t="s">
        <v>21</v>
      </c>
      <c r="B973">
        <v>1</v>
      </c>
      <c r="C973" t="s">
        <v>1157</v>
      </c>
      <c r="D973" t="s">
        <v>1380</v>
      </c>
      <c r="E973" t="s">
        <v>1340</v>
      </c>
      <c r="F973" t="s">
        <v>1341</v>
      </c>
      <c r="G973">
        <v>1</v>
      </c>
      <c r="H973" t="s">
        <v>1381</v>
      </c>
      <c r="I973" t="s">
        <v>1382</v>
      </c>
      <c r="J973" t="s">
        <v>872</v>
      </c>
      <c r="K973" t="s">
        <v>872</v>
      </c>
      <c r="L973">
        <v>1</v>
      </c>
      <c r="M973" s="5">
        <v>43990</v>
      </c>
      <c r="N973" s="5">
        <f>+M973*1.3</f>
        <v>57187</v>
      </c>
      <c r="O973" s="2">
        <f>+N973-M973</f>
        <v>13197</v>
      </c>
    </row>
    <row r="974" spans="1:15" x14ac:dyDescent="0.2">
      <c r="A974" t="s">
        <v>13</v>
      </c>
      <c r="B974">
        <v>1</v>
      </c>
      <c r="C974" t="s">
        <v>1157</v>
      </c>
      <c r="D974" t="s">
        <v>1380</v>
      </c>
      <c r="E974" t="s">
        <v>1340</v>
      </c>
      <c r="F974" t="s">
        <v>1341</v>
      </c>
      <c r="G974">
        <v>1</v>
      </c>
      <c r="H974" t="s">
        <v>1383</v>
      </c>
      <c r="I974" t="s">
        <v>1384</v>
      </c>
      <c r="J974" t="s">
        <v>872</v>
      </c>
      <c r="K974" t="s">
        <v>872</v>
      </c>
      <c r="L974">
        <v>1</v>
      </c>
      <c r="M974" s="5">
        <v>43990</v>
      </c>
      <c r="N974" s="5">
        <f>+M974*1.3</f>
        <v>57187</v>
      </c>
      <c r="O974" s="2">
        <f>+N974-M974</f>
        <v>13197</v>
      </c>
    </row>
    <row r="975" spans="1:15" x14ac:dyDescent="0.2">
      <c r="A975" t="s">
        <v>21</v>
      </c>
      <c r="B975">
        <v>1</v>
      </c>
      <c r="C975" t="s">
        <v>1157</v>
      </c>
      <c r="D975" t="s">
        <v>1380</v>
      </c>
      <c r="E975" t="s">
        <v>1340</v>
      </c>
      <c r="F975" t="s">
        <v>1341</v>
      </c>
      <c r="G975">
        <v>1</v>
      </c>
      <c r="H975" t="s">
        <v>1383</v>
      </c>
      <c r="I975" t="s">
        <v>1384</v>
      </c>
      <c r="J975" t="s">
        <v>872</v>
      </c>
      <c r="K975" t="s">
        <v>872</v>
      </c>
      <c r="L975">
        <v>1</v>
      </c>
      <c r="M975" s="5">
        <v>43990</v>
      </c>
      <c r="N975" s="5">
        <f>+M975*1.3</f>
        <v>57187</v>
      </c>
      <c r="O975" s="2">
        <f>+N975-M975</f>
        <v>13197</v>
      </c>
    </row>
    <row r="976" spans="1:15" x14ac:dyDescent="0.2">
      <c r="A976" t="s">
        <v>13</v>
      </c>
      <c r="B976">
        <v>1</v>
      </c>
      <c r="C976" t="s">
        <v>1157</v>
      </c>
      <c r="D976" t="s">
        <v>1385</v>
      </c>
      <c r="E976" t="s">
        <v>1340</v>
      </c>
      <c r="F976" t="s">
        <v>1341</v>
      </c>
      <c r="G976">
        <v>1</v>
      </c>
      <c r="H976" t="s">
        <v>1386</v>
      </c>
      <c r="I976" t="s">
        <v>1387</v>
      </c>
      <c r="J976" t="s">
        <v>872</v>
      </c>
      <c r="K976" t="s">
        <v>872</v>
      </c>
      <c r="L976">
        <v>1</v>
      </c>
      <c r="M976" s="5">
        <v>52500</v>
      </c>
      <c r="N976" s="5">
        <f>+M976*1.3</f>
        <v>68250</v>
      </c>
      <c r="O976" s="2">
        <f>+N976-M976</f>
        <v>15750</v>
      </c>
    </row>
    <row r="977" spans="1:15" x14ac:dyDescent="0.2">
      <c r="A977" t="s">
        <v>35</v>
      </c>
      <c r="B977">
        <v>1</v>
      </c>
      <c r="C977" t="s">
        <v>1157</v>
      </c>
      <c r="D977" t="s">
        <v>1385</v>
      </c>
      <c r="E977" t="s">
        <v>1340</v>
      </c>
      <c r="F977" t="s">
        <v>1341</v>
      </c>
      <c r="G977">
        <v>1</v>
      </c>
      <c r="H977" t="s">
        <v>1386</v>
      </c>
      <c r="I977" t="s">
        <v>1387</v>
      </c>
      <c r="J977" t="s">
        <v>872</v>
      </c>
      <c r="K977" t="s">
        <v>872</v>
      </c>
      <c r="L977">
        <v>1</v>
      </c>
      <c r="M977" s="5">
        <v>52500</v>
      </c>
      <c r="N977" s="5">
        <f>+M977*1.3</f>
        <v>68250</v>
      </c>
      <c r="O977" s="2">
        <f>+N977-M977</f>
        <v>15750</v>
      </c>
    </row>
    <row r="978" spans="1:15" x14ac:dyDescent="0.2">
      <c r="A978" t="s">
        <v>21</v>
      </c>
      <c r="B978">
        <v>1</v>
      </c>
      <c r="C978" t="s">
        <v>1157</v>
      </c>
      <c r="D978" t="s">
        <v>1385</v>
      </c>
      <c r="E978" t="s">
        <v>1340</v>
      </c>
      <c r="F978" t="s">
        <v>1341</v>
      </c>
      <c r="G978">
        <v>1</v>
      </c>
      <c r="H978" t="s">
        <v>1386</v>
      </c>
      <c r="I978" t="s">
        <v>1387</v>
      </c>
      <c r="J978" t="s">
        <v>872</v>
      </c>
      <c r="K978" t="s">
        <v>872</v>
      </c>
      <c r="L978">
        <v>1</v>
      </c>
      <c r="M978" s="5">
        <v>52500</v>
      </c>
      <c r="N978" s="5">
        <f>+M978*1.3</f>
        <v>68250</v>
      </c>
      <c r="O978" s="2">
        <f>+N978-M978</f>
        <v>15750</v>
      </c>
    </row>
    <row r="979" spans="1:15" x14ac:dyDescent="0.2">
      <c r="A979" t="s">
        <v>13</v>
      </c>
      <c r="B979">
        <v>1</v>
      </c>
      <c r="C979" t="s">
        <v>1157</v>
      </c>
      <c r="D979" t="s">
        <v>1385</v>
      </c>
      <c r="E979" t="s">
        <v>1340</v>
      </c>
      <c r="F979" t="s">
        <v>1341</v>
      </c>
      <c r="G979">
        <v>1</v>
      </c>
      <c r="H979" t="s">
        <v>1388</v>
      </c>
      <c r="I979" t="s">
        <v>1389</v>
      </c>
      <c r="J979" t="s">
        <v>872</v>
      </c>
      <c r="K979" t="s">
        <v>872</v>
      </c>
      <c r="L979">
        <v>1</v>
      </c>
      <c r="M979" s="5">
        <v>52500</v>
      </c>
      <c r="N979" s="5">
        <f>+M979*1.3</f>
        <v>68250</v>
      </c>
      <c r="O979" s="2">
        <f>+N979-M979</f>
        <v>15750</v>
      </c>
    </row>
    <row r="980" spans="1:15" x14ac:dyDescent="0.2">
      <c r="A980" t="s">
        <v>35</v>
      </c>
      <c r="B980">
        <v>1</v>
      </c>
      <c r="C980" t="s">
        <v>1157</v>
      </c>
      <c r="D980" t="s">
        <v>1385</v>
      </c>
      <c r="E980" t="s">
        <v>1340</v>
      </c>
      <c r="F980" t="s">
        <v>1341</v>
      </c>
      <c r="G980">
        <v>1</v>
      </c>
      <c r="H980" t="s">
        <v>1388</v>
      </c>
      <c r="I980" t="s">
        <v>1389</v>
      </c>
      <c r="J980" t="s">
        <v>872</v>
      </c>
      <c r="K980" t="s">
        <v>872</v>
      </c>
      <c r="L980">
        <v>1</v>
      </c>
      <c r="M980" s="5">
        <v>52500</v>
      </c>
      <c r="N980" s="5">
        <f>+M980*1.3</f>
        <v>68250</v>
      </c>
      <c r="O980" s="2">
        <f>+N980-M980</f>
        <v>15750</v>
      </c>
    </row>
    <row r="981" spans="1:15" x14ac:dyDescent="0.2">
      <c r="A981" t="s">
        <v>21</v>
      </c>
      <c r="B981">
        <v>1</v>
      </c>
      <c r="C981" t="s">
        <v>1157</v>
      </c>
      <c r="D981" t="s">
        <v>1385</v>
      </c>
      <c r="E981" t="s">
        <v>1340</v>
      </c>
      <c r="F981" t="s">
        <v>1341</v>
      </c>
      <c r="G981">
        <v>1</v>
      </c>
      <c r="H981" t="s">
        <v>1388</v>
      </c>
      <c r="I981" t="s">
        <v>1389</v>
      </c>
      <c r="J981" t="s">
        <v>872</v>
      </c>
      <c r="K981" t="s">
        <v>872</v>
      </c>
      <c r="L981">
        <v>1</v>
      </c>
      <c r="M981" s="5">
        <v>52500</v>
      </c>
      <c r="N981" s="5">
        <f>+M981*1.3</f>
        <v>68250</v>
      </c>
      <c r="O981" s="2">
        <f>+N981-M981</f>
        <v>15750</v>
      </c>
    </row>
    <row r="982" spans="1:15" x14ac:dyDescent="0.2">
      <c r="A982" t="s">
        <v>13</v>
      </c>
      <c r="B982">
        <v>1</v>
      </c>
      <c r="C982" t="s">
        <v>1157</v>
      </c>
      <c r="D982" t="s">
        <v>1390</v>
      </c>
      <c r="E982" t="s">
        <v>1340</v>
      </c>
      <c r="F982" t="s">
        <v>1341</v>
      </c>
      <c r="G982">
        <v>1</v>
      </c>
      <c r="H982" t="s">
        <v>1391</v>
      </c>
      <c r="I982" t="s">
        <v>1392</v>
      </c>
      <c r="J982" t="s">
        <v>872</v>
      </c>
      <c r="K982" t="s">
        <v>872</v>
      </c>
      <c r="L982">
        <v>1</v>
      </c>
      <c r="M982" s="5">
        <v>53500</v>
      </c>
      <c r="N982" s="5">
        <f>+M982*1.3</f>
        <v>69550</v>
      </c>
      <c r="O982" s="2">
        <f>+N982-M982</f>
        <v>16050</v>
      </c>
    </row>
    <row r="983" spans="1:15" x14ac:dyDescent="0.2">
      <c r="A983" t="s">
        <v>35</v>
      </c>
      <c r="B983">
        <v>1</v>
      </c>
      <c r="C983" t="s">
        <v>1157</v>
      </c>
      <c r="D983" t="s">
        <v>1390</v>
      </c>
      <c r="E983" t="s">
        <v>1340</v>
      </c>
      <c r="F983" t="s">
        <v>1341</v>
      </c>
      <c r="G983">
        <v>1</v>
      </c>
      <c r="H983" t="s">
        <v>1391</v>
      </c>
      <c r="I983" t="s">
        <v>1392</v>
      </c>
      <c r="J983" t="s">
        <v>872</v>
      </c>
      <c r="K983" t="s">
        <v>872</v>
      </c>
      <c r="L983">
        <v>1</v>
      </c>
      <c r="M983" s="5">
        <v>53500</v>
      </c>
      <c r="N983" s="5">
        <f>+M983*1.3</f>
        <v>69550</v>
      </c>
      <c r="O983" s="2">
        <f>+N983-M983</f>
        <v>16050</v>
      </c>
    </row>
    <row r="984" spans="1:15" x14ac:dyDescent="0.2">
      <c r="A984" t="s">
        <v>21</v>
      </c>
      <c r="B984">
        <v>1</v>
      </c>
      <c r="C984" t="s">
        <v>1157</v>
      </c>
      <c r="D984" t="s">
        <v>1390</v>
      </c>
      <c r="E984" t="s">
        <v>1340</v>
      </c>
      <c r="F984" t="s">
        <v>1341</v>
      </c>
      <c r="G984">
        <v>1</v>
      </c>
      <c r="H984" t="s">
        <v>1391</v>
      </c>
      <c r="I984" t="s">
        <v>1392</v>
      </c>
      <c r="J984" t="s">
        <v>872</v>
      </c>
      <c r="K984" t="s">
        <v>872</v>
      </c>
      <c r="L984">
        <v>1</v>
      </c>
      <c r="M984" s="5">
        <v>53500</v>
      </c>
      <c r="N984" s="5">
        <f>+M984*1.3</f>
        <v>69550</v>
      </c>
      <c r="O984" s="2">
        <f>+N984-M984</f>
        <v>16050</v>
      </c>
    </row>
    <row r="985" spans="1:15" x14ac:dyDescent="0.2">
      <c r="A985" t="s">
        <v>13</v>
      </c>
      <c r="B985">
        <v>1</v>
      </c>
      <c r="C985" t="s">
        <v>1157</v>
      </c>
      <c r="D985" t="s">
        <v>1390</v>
      </c>
      <c r="E985" t="s">
        <v>1340</v>
      </c>
      <c r="F985" t="s">
        <v>1341</v>
      </c>
      <c r="G985">
        <v>1</v>
      </c>
      <c r="H985" t="s">
        <v>1393</v>
      </c>
      <c r="I985" t="s">
        <v>1394</v>
      </c>
      <c r="J985" t="s">
        <v>872</v>
      </c>
      <c r="K985" t="s">
        <v>872</v>
      </c>
      <c r="L985">
        <v>1</v>
      </c>
      <c r="M985" s="5">
        <v>53500</v>
      </c>
      <c r="N985" s="5">
        <f>+M985*1.3</f>
        <v>69550</v>
      </c>
      <c r="O985" s="2">
        <f>+N985-M985</f>
        <v>16050</v>
      </c>
    </row>
    <row r="986" spans="1:15" x14ac:dyDescent="0.2">
      <c r="A986" t="s">
        <v>35</v>
      </c>
      <c r="B986">
        <v>1</v>
      </c>
      <c r="C986" t="s">
        <v>1157</v>
      </c>
      <c r="D986" t="s">
        <v>1390</v>
      </c>
      <c r="E986" t="s">
        <v>1340</v>
      </c>
      <c r="F986" t="s">
        <v>1341</v>
      </c>
      <c r="G986">
        <v>1</v>
      </c>
      <c r="H986" t="s">
        <v>1393</v>
      </c>
      <c r="I986" t="s">
        <v>1394</v>
      </c>
      <c r="J986" t="s">
        <v>872</v>
      </c>
      <c r="K986" t="s">
        <v>872</v>
      </c>
      <c r="L986">
        <v>1</v>
      </c>
      <c r="M986" s="5">
        <v>53500</v>
      </c>
      <c r="N986" s="5">
        <f>+M986*1.3</f>
        <v>69550</v>
      </c>
      <c r="O986" s="2">
        <f>+N986-M986</f>
        <v>16050</v>
      </c>
    </row>
    <row r="987" spans="1:15" x14ac:dyDescent="0.2">
      <c r="A987" t="s">
        <v>21</v>
      </c>
      <c r="B987">
        <v>1</v>
      </c>
      <c r="C987" t="s">
        <v>1157</v>
      </c>
      <c r="D987" t="s">
        <v>1390</v>
      </c>
      <c r="E987" t="s">
        <v>1340</v>
      </c>
      <c r="F987" t="s">
        <v>1341</v>
      </c>
      <c r="G987">
        <v>1</v>
      </c>
      <c r="H987" t="s">
        <v>1393</v>
      </c>
      <c r="I987" t="s">
        <v>1394</v>
      </c>
      <c r="J987" t="s">
        <v>872</v>
      </c>
      <c r="K987" t="s">
        <v>872</v>
      </c>
      <c r="L987">
        <v>1</v>
      </c>
      <c r="M987" s="5">
        <v>53500</v>
      </c>
      <c r="N987" s="5">
        <f>+M987*1.3</f>
        <v>69550</v>
      </c>
      <c r="O987" s="2">
        <f>+N987-M987</f>
        <v>16050</v>
      </c>
    </row>
    <row r="988" spans="1:15" x14ac:dyDescent="0.2">
      <c r="A988" t="s">
        <v>13</v>
      </c>
      <c r="B988">
        <v>1</v>
      </c>
      <c r="C988" t="s">
        <v>1157</v>
      </c>
      <c r="D988" t="s">
        <v>1390</v>
      </c>
      <c r="E988" t="s">
        <v>1340</v>
      </c>
      <c r="F988" t="s">
        <v>1341</v>
      </c>
      <c r="G988">
        <v>2</v>
      </c>
      <c r="H988" t="s">
        <v>1395</v>
      </c>
      <c r="I988" t="s">
        <v>1396</v>
      </c>
      <c r="J988" t="s">
        <v>872</v>
      </c>
      <c r="K988" t="s">
        <v>872</v>
      </c>
      <c r="L988">
        <v>1</v>
      </c>
      <c r="M988" s="5">
        <v>76990</v>
      </c>
      <c r="N988" s="5">
        <f>+M988*1.3</f>
        <v>100087</v>
      </c>
      <c r="O988" s="2">
        <f>+N988-M988</f>
        <v>23097</v>
      </c>
    </row>
    <row r="989" spans="1:15" x14ac:dyDescent="0.2">
      <c r="A989" t="s">
        <v>35</v>
      </c>
      <c r="B989">
        <v>1</v>
      </c>
      <c r="C989" t="s">
        <v>1157</v>
      </c>
      <c r="D989" t="s">
        <v>1390</v>
      </c>
      <c r="E989" t="s">
        <v>1340</v>
      </c>
      <c r="F989" t="s">
        <v>1341</v>
      </c>
      <c r="G989">
        <v>2</v>
      </c>
      <c r="H989" t="s">
        <v>1395</v>
      </c>
      <c r="I989" t="s">
        <v>1396</v>
      </c>
      <c r="J989" t="s">
        <v>872</v>
      </c>
      <c r="K989" t="s">
        <v>872</v>
      </c>
      <c r="L989">
        <v>1</v>
      </c>
      <c r="M989" s="5">
        <v>76990</v>
      </c>
      <c r="N989" s="5">
        <f>+M989*1.3</f>
        <v>100087</v>
      </c>
      <c r="O989" s="2">
        <f>+N989-M989</f>
        <v>23097</v>
      </c>
    </row>
    <row r="990" spans="1:15" x14ac:dyDescent="0.2">
      <c r="A990" t="s">
        <v>21</v>
      </c>
      <c r="B990">
        <v>1</v>
      </c>
      <c r="C990" t="s">
        <v>1157</v>
      </c>
      <c r="D990" t="s">
        <v>1390</v>
      </c>
      <c r="E990" t="s">
        <v>1340</v>
      </c>
      <c r="F990" t="s">
        <v>1341</v>
      </c>
      <c r="G990">
        <v>2</v>
      </c>
      <c r="H990" t="s">
        <v>1395</v>
      </c>
      <c r="I990" t="s">
        <v>1396</v>
      </c>
      <c r="J990" t="s">
        <v>872</v>
      </c>
      <c r="K990" t="s">
        <v>872</v>
      </c>
      <c r="L990">
        <v>1</v>
      </c>
      <c r="M990" s="5">
        <v>76990</v>
      </c>
      <c r="N990" s="5">
        <f>+M990*1.3</f>
        <v>100087</v>
      </c>
      <c r="O990" s="2">
        <f>+N990-M990</f>
        <v>23097</v>
      </c>
    </row>
    <row r="991" spans="1:15" x14ac:dyDescent="0.2">
      <c r="A991" t="s">
        <v>13</v>
      </c>
      <c r="B991">
        <v>1</v>
      </c>
      <c r="C991" t="s">
        <v>1157</v>
      </c>
      <c r="D991" t="s">
        <v>1397</v>
      </c>
      <c r="E991" t="s">
        <v>1340</v>
      </c>
      <c r="F991" t="s">
        <v>1341</v>
      </c>
      <c r="G991">
        <v>2</v>
      </c>
      <c r="H991" t="s">
        <v>1398</v>
      </c>
      <c r="I991" t="s">
        <v>1399</v>
      </c>
      <c r="J991" t="s">
        <v>872</v>
      </c>
      <c r="K991" t="s">
        <v>872</v>
      </c>
      <c r="L991">
        <v>1</v>
      </c>
      <c r="M991" s="5">
        <v>53990</v>
      </c>
      <c r="N991" s="5">
        <f>+M991*1.3</f>
        <v>70187</v>
      </c>
      <c r="O991" s="2">
        <f>+N991-M991</f>
        <v>16197</v>
      </c>
    </row>
    <row r="992" spans="1:15" x14ac:dyDescent="0.2">
      <c r="A992" t="s">
        <v>35</v>
      </c>
      <c r="B992">
        <v>1</v>
      </c>
      <c r="C992" t="s">
        <v>1157</v>
      </c>
      <c r="D992" t="s">
        <v>1397</v>
      </c>
      <c r="E992" t="s">
        <v>1340</v>
      </c>
      <c r="F992" t="s">
        <v>1341</v>
      </c>
      <c r="G992">
        <v>2</v>
      </c>
      <c r="H992" t="s">
        <v>1398</v>
      </c>
      <c r="I992" t="s">
        <v>1399</v>
      </c>
      <c r="J992" t="s">
        <v>872</v>
      </c>
      <c r="K992" t="s">
        <v>872</v>
      </c>
      <c r="L992">
        <v>1</v>
      </c>
      <c r="M992" s="5">
        <v>53990</v>
      </c>
      <c r="N992" s="5">
        <f>+M992*1.3</f>
        <v>70187</v>
      </c>
      <c r="O992" s="2">
        <f>+N992-M992</f>
        <v>16197</v>
      </c>
    </row>
    <row r="993" spans="1:15" x14ac:dyDescent="0.2">
      <c r="A993" t="s">
        <v>21</v>
      </c>
      <c r="B993">
        <v>1</v>
      </c>
      <c r="C993" t="s">
        <v>1157</v>
      </c>
      <c r="D993" t="s">
        <v>1397</v>
      </c>
      <c r="E993" t="s">
        <v>1340</v>
      </c>
      <c r="F993" t="s">
        <v>1341</v>
      </c>
      <c r="G993">
        <v>2</v>
      </c>
      <c r="H993" t="s">
        <v>1398</v>
      </c>
      <c r="I993" t="s">
        <v>1399</v>
      </c>
      <c r="J993" t="s">
        <v>872</v>
      </c>
      <c r="K993" t="s">
        <v>872</v>
      </c>
      <c r="L993">
        <v>1</v>
      </c>
      <c r="M993" s="5">
        <v>53990</v>
      </c>
      <c r="N993" s="5">
        <f>+M993*1.3</f>
        <v>70187</v>
      </c>
      <c r="O993" s="2">
        <f>+N993-M993</f>
        <v>16197</v>
      </c>
    </row>
    <row r="994" spans="1:15" x14ac:dyDescent="0.2">
      <c r="A994" t="s">
        <v>13</v>
      </c>
      <c r="B994">
        <v>1</v>
      </c>
      <c r="C994" t="s">
        <v>1157</v>
      </c>
      <c r="D994" t="s">
        <v>1397</v>
      </c>
      <c r="E994" t="s">
        <v>1340</v>
      </c>
      <c r="F994" t="s">
        <v>1341</v>
      </c>
      <c r="G994">
        <v>1</v>
      </c>
      <c r="H994" t="s">
        <v>1400</v>
      </c>
      <c r="I994" t="s">
        <v>1401</v>
      </c>
      <c r="J994" t="s">
        <v>872</v>
      </c>
      <c r="K994" t="s">
        <v>872</v>
      </c>
      <c r="L994">
        <v>1</v>
      </c>
      <c r="M994" s="5">
        <v>53900</v>
      </c>
      <c r="N994" s="5">
        <f>+M994*1.3</f>
        <v>70070</v>
      </c>
      <c r="O994" s="2">
        <f>+N994-M994</f>
        <v>16170</v>
      </c>
    </row>
    <row r="995" spans="1:15" x14ac:dyDescent="0.2">
      <c r="A995" t="s">
        <v>35</v>
      </c>
      <c r="B995">
        <v>1</v>
      </c>
      <c r="C995" t="s">
        <v>1157</v>
      </c>
      <c r="D995" t="s">
        <v>1397</v>
      </c>
      <c r="E995" t="s">
        <v>1340</v>
      </c>
      <c r="F995" t="s">
        <v>1341</v>
      </c>
      <c r="G995">
        <v>1</v>
      </c>
      <c r="H995" t="s">
        <v>1400</v>
      </c>
      <c r="I995" t="s">
        <v>1401</v>
      </c>
      <c r="J995" t="s">
        <v>872</v>
      </c>
      <c r="K995" t="s">
        <v>872</v>
      </c>
      <c r="L995">
        <v>1</v>
      </c>
      <c r="M995" s="5">
        <v>53900</v>
      </c>
      <c r="N995" s="5">
        <f>+M995*1.3</f>
        <v>70070</v>
      </c>
      <c r="O995" s="2">
        <f>+N995-M995</f>
        <v>16170</v>
      </c>
    </row>
    <row r="996" spans="1:15" x14ac:dyDescent="0.2">
      <c r="A996" t="s">
        <v>21</v>
      </c>
      <c r="B996">
        <v>1</v>
      </c>
      <c r="C996" t="s">
        <v>1157</v>
      </c>
      <c r="D996" t="s">
        <v>1397</v>
      </c>
      <c r="E996" t="s">
        <v>1340</v>
      </c>
      <c r="F996" t="s">
        <v>1341</v>
      </c>
      <c r="G996">
        <v>1</v>
      </c>
      <c r="H996" t="s">
        <v>1400</v>
      </c>
      <c r="I996" t="s">
        <v>1401</v>
      </c>
      <c r="J996" t="s">
        <v>872</v>
      </c>
      <c r="K996" t="s">
        <v>872</v>
      </c>
      <c r="L996">
        <v>1</v>
      </c>
      <c r="M996" s="5">
        <v>53900</v>
      </c>
      <c r="N996" s="5">
        <f>+M996*1.3</f>
        <v>70070</v>
      </c>
      <c r="O996" s="2">
        <f>+N996-M996</f>
        <v>16170</v>
      </c>
    </row>
    <row r="997" spans="1:15" x14ac:dyDescent="0.2">
      <c r="A997" t="s">
        <v>13</v>
      </c>
      <c r="B997">
        <v>1</v>
      </c>
      <c r="C997" t="s">
        <v>1157</v>
      </c>
      <c r="D997" t="s">
        <v>1397</v>
      </c>
      <c r="E997" t="s">
        <v>1340</v>
      </c>
      <c r="F997" t="s">
        <v>1341</v>
      </c>
      <c r="G997">
        <v>3</v>
      </c>
      <c r="H997" t="s">
        <v>1402</v>
      </c>
      <c r="I997" t="s">
        <v>1403</v>
      </c>
      <c r="J997" t="s">
        <v>872</v>
      </c>
      <c r="K997" t="s">
        <v>872</v>
      </c>
      <c r="L997">
        <v>1</v>
      </c>
      <c r="M997" s="5">
        <v>62990</v>
      </c>
      <c r="N997" s="5">
        <f>+M997*1.3</f>
        <v>81887</v>
      </c>
      <c r="O997" s="2">
        <f>+N997-M997</f>
        <v>18897</v>
      </c>
    </row>
    <row r="998" spans="1:15" x14ac:dyDescent="0.2">
      <c r="A998" t="s">
        <v>35</v>
      </c>
      <c r="B998">
        <v>1</v>
      </c>
      <c r="C998" t="s">
        <v>1157</v>
      </c>
      <c r="D998" t="s">
        <v>1397</v>
      </c>
      <c r="E998" t="s">
        <v>1340</v>
      </c>
      <c r="F998" t="s">
        <v>1341</v>
      </c>
      <c r="G998">
        <v>3</v>
      </c>
      <c r="H998" t="s">
        <v>1402</v>
      </c>
      <c r="I998" t="s">
        <v>1403</v>
      </c>
      <c r="J998" t="s">
        <v>872</v>
      </c>
      <c r="K998" t="s">
        <v>872</v>
      </c>
      <c r="L998">
        <v>1</v>
      </c>
      <c r="M998" s="5">
        <v>62990</v>
      </c>
      <c r="N998" s="5">
        <f>+M998*1.3</f>
        <v>81887</v>
      </c>
      <c r="O998" s="2">
        <f>+N998-M998</f>
        <v>18897</v>
      </c>
    </row>
    <row r="999" spans="1:15" x14ac:dyDescent="0.2">
      <c r="A999" t="s">
        <v>21</v>
      </c>
      <c r="B999">
        <v>1</v>
      </c>
      <c r="C999" t="s">
        <v>1157</v>
      </c>
      <c r="D999" t="s">
        <v>1397</v>
      </c>
      <c r="E999" t="s">
        <v>1340</v>
      </c>
      <c r="F999" t="s">
        <v>1341</v>
      </c>
      <c r="G999">
        <v>3</v>
      </c>
      <c r="H999" t="s">
        <v>1402</v>
      </c>
      <c r="I999" t="s">
        <v>1403</v>
      </c>
      <c r="J999" t="s">
        <v>872</v>
      </c>
      <c r="K999" t="s">
        <v>872</v>
      </c>
      <c r="L999">
        <v>1</v>
      </c>
      <c r="M999" s="5">
        <v>62990</v>
      </c>
      <c r="N999" s="5">
        <f>+M999*1.3</f>
        <v>81887</v>
      </c>
      <c r="O999" s="2">
        <f>+N999-M999</f>
        <v>18897</v>
      </c>
    </row>
    <row r="1000" spans="1:15" x14ac:dyDescent="0.2">
      <c r="A1000" t="s">
        <v>13</v>
      </c>
      <c r="B1000">
        <v>1</v>
      </c>
      <c r="C1000" t="s">
        <v>1157</v>
      </c>
      <c r="D1000" t="s">
        <v>1397</v>
      </c>
      <c r="E1000" t="s">
        <v>1340</v>
      </c>
      <c r="F1000" t="s">
        <v>1341</v>
      </c>
      <c r="G1000">
        <v>3</v>
      </c>
      <c r="H1000" t="s">
        <v>1404</v>
      </c>
      <c r="I1000" t="s">
        <v>1405</v>
      </c>
      <c r="J1000" t="s">
        <v>872</v>
      </c>
      <c r="K1000" t="s">
        <v>872</v>
      </c>
      <c r="L1000">
        <v>1</v>
      </c>
      <c r="M1000" s="5">
        <v>62990</v>
      </c>
      <c r="N1000" s="5">
        <f>+M1000*1.3</f>
        <v>81887</v>
      </c>
      <c r="O1000" s="2">
        <f>+N1000-M1000</f>
        <v>18897</v>
      </c>
    </row>
    <row r="1001" spans="1:15" x14ac:dyDescent="0.2">
      <c r="A1001" t="s">
        <v>35</v>
      </c>
      <c r="B1001">
        <v>1</v>
      </c>
      <c r="C1001" t="s">
        <v>1157</v>
      </c>
      <c r="D1001" t="s">
        <v>1397</v>
      </c>
      <c r="E1001" t="s">
        <v>1340</v>
      </c>
      <c r="F1001" t="s">
        <v>1341</v>
      </c>
      <c r="G1001">
        <v>3</v>
      </c>
      <c r="H1001" t="s">
        <v>1404</v>
      </c>
      <c r="I1001" t="s">
        <v>1405</v>
      </c>
      <c r="J1001" t="s">
        <v>872</v>
      </c>
      <c r="K1001" t="s">
        <v>872</v>
      </c>
      <c r="L1001">
        <v>1</v>
      </c>
      <c r="M1001" s="5">
        <v>62990</v>
      </c>
      <c r="N1001" s="5">
        <f>+M1001*1.3</f>
        <v>81887</v>
      </c>
      <c r="O1001" s="2">
        <f>+N1001-M1001</f>
        <v>18897</v>
      </c>
    </row>
    <row r="1002" spans="1:15" x14ac:dyDescent="0.2">
      <c r="A1002" t="s">
        <v>21</v>
      </c>
      <c r="B1002">
        <v>1</v>
      </c>
      <c r="C1002" t="s">
        <v>1157</v>
      </c>
      <c r="D1002" t="s">
        <v>1397</v>
      </c>
      <c r="E1002" t="s">
        <v>1340</v>
      </c>
      <c r="F1002" t="s">
        <v>1341</v>
      </c>
      <c r="G1002">
        <v>3</v>
      </c>
      <c r="H1002" t="s">
        <v>1404</v>
      </c>
      <c r="I1002" t="s">
        <v>1405</v>
      </c>
      <c r="J1002" t="s">
        <v>872</v>
      </c>
      <c r="K1002" t="s">
        <v>872</v>
      </c>
      <c r="L1002">
        <v>1</v>
      </c>
      <c r="M1002" s="5">
        <v>62990</v>
      </c>
      <c r="N1002" s="5">
        <f>+M1002*1.3</f>
        <v>81887</v>
      </c>
      <c r="O1002" s="2">
        <f>+N1002-M1002</f>
        <v>18897</v>
      </c>
    </row>
    <row r="1003" spans="1:15" x14ac:dyDescent="0.2">
      <c r="A1003" t="s">
        <v>28</v>
      </c>
      <c r="B1003">
        <v>1</v>
      </c>
      <c r="C1003" t="s">
        <v>1157</v>
      </c>
      <c r="D1003" t="s">
        <v>1231</v>
      </c>
      <c r="E1003" t="s">
        <v>1340</v>
      </c>
      <c r="F1003" t="s">
        <v>1341</v>
      </c>
      <c r="G1003">
        <v>1</v>
      </c>
      <c r="H1003" t="s">
        <v>1406</v>
      </c>
      <c r="I1003" t="s">
        <v>1407</v>
      </c>
      <c r="J1003" t="s">
        <v>872</v>
      </c>
      <c r="K1003" t="s">
        <v>872</v>
      </c>
      <c r="L1003">
        <v>1</v>
      </c>
      <c r="M1003" s="5">
        <v>62990</v>
      </c>
      <c r="N1003" s="5">
        <f>+M1003*1.3</f>
        <v>81887</v>
      </c>
      <c r="O1003" s="2">
        <f>+N1003-M1003</f>
        <v>18897</v>
      </c>
    </row>
    <row r="1004" spans="1:15" x14ac:dyDescent="0.2">
      <c r="A1004" t="s">
        <v>28</v>
      </c>
      <c r="B1004">
        <v>1</v>
      </c>
      <c r="C1004" t="s">
        <v>1157</v>
      </c>
      <c r="D1004" t="s">
        <v>1231</v>
      </c>
      <c r="E1004" t="s">
        <v>1340</v>
      </c>
      <c r="F1004" t="s">
        <v>1341</v>
      </c>
      <c r="G1004">
        <v>1</v>
      </c>
      <c r="H1004" t="s">
        <v>1408</v>
      </c>
      <c r="I1004" t="s">
        <v>1409</v>
      </c>
      <c r="J1004" t="s">
        <v>872</v>
      </c>
      <c r="K1004" t="s">
        <v>872</v>
      </c>
      <c r="L1004">
        <v>1</v>
      </c>
      <c r="M1004" s="5">
        <v>62990</v>
      </c>
      <c r="N1004" s="5">
        <f>+M1004*1.3</f>
        <v>81887</v>
      </c>
      <c r="O1004" s="2">
        <f>+N1004-M1004</f>
        <v>18897</v>
      </c>
    </row>
    <row r="1005" spans="1:15" x14ac:dyDescent="0.2">
      <c r="A1005" t="s">
        <v>13</v>
      </c>
      <c r="B1005">
        <v>1</v>
      </c>
      <c r="C1005" t="s">
        <v>1157</v>
      </c>
      <c r="D1005" t="s">
        <v>1397</v>
      </c>
      <c r="E1005" t="s">
        <v>1340</v>
      </c>
      <c r="F1005" t="s">
        <v>1341</v>
      </c>
      <c r="G1005">
        <v>4</v>
      </c>
      <c r="H1005" t="s">
        <v>1410</v>
      </c>
      <c r="I1005" t="s">
        <v>1411</v>
      </c>
      <c r="J1005" t="s">
        <v>872</v>
      </c>
      <c r="K1005" t="s">
        <v>872</v>
      </c>
      <c r="L1005">
        <v>1</v>
      </c>
      <c r="M1005" s="5">
        <v>68500</v>
      </c>
      <c r="N1005" s="5">
        <f>+M1005*1.3</f>
        <v>89050</v>
      </c>
      <c r="O1005" s="2">
        <f>+N1005-M1005</f>
        <v>20550</v>
      </c>
    </row>
    <row r="1006" spans="1:15" x14ac:dyDescent="0.2">
      <c r="A1006" t="s">
        <v>35</v>
      </c>
      <c r="B1006">
        <v>1</v>
      </c>
      <c r="C1006" t="s">
        <v>1157</v>
      </c>
      <c r="D1006" t="s">
        <v>1397</v>
      </c>
      <c r="E1006" t="s">
        <v>1340</v>
      </c>
      <c r="F1006" t="s">
        <v>1341</v>
      </c>
      <c r="G1006">
        <v>4</v>
      </c>
      <c r="H1006" t="s">
        <v>1410</v>
      </c>
      <c r="I1006" t="s">
        <v>1411</v>
      </c>
      <c r="J1006" t="s">
        <v>872</v>
      </c>
      <c r="K1006" t="s">
        <v>872</v>
      </c>
      <c r="L1006">
        <v>1</v>
      </c>
      <c r="M1006" s="5">
        <v>68500</v>
      </c>
      <c r="N1006" s="5">
        <f>+M1006*1.3</f>
        <v>89050</v>
      </c>
      <c r="O1006" s="2">
        <f>+N1006-M1006</f>
        <v>20550</v>
      </c>
    </row>
    <row r="1007" spans="1:15" x14ac:dyDescent="0.2">
      <c r="A1007" t="s">
        <v>21</v>
      </c>
      <c r="B1007">
        <v>1</v>
      </c>
      <c r="C1007" t="s">
        <v>1157</v>
      </c>
      <c r="D1007" t="s">
        <v>1397</v>
      </c>
      <c r="E1007" t="s">
        <v>1340</v>
      </c>
      <c r="F1007" t="s">
        <v>1341</v>
      </c>
      <c r="G1007">
        <v>4</v>
      </c>
      <c r="H1007" t="s">
        <v>1410</v>
      </c>
      <c r="I1007" t="s">
        <v>1411</v>
      </c>
      <c r="J1007" t="s">
        <v>872</v>
      </c>
      <c r="K1007" t="s">
        <v>872</v>
      </c>
      <c r="L1007">
        <v>1</v>
      </c>
      <c r="M1007" s="5">
        <v>68500</v>
      </c>
      <c r="N1007" s="5">
        <f>+M1007*1.3</f>
        <v>89050</v>
      </c>
      <c r="O1007" s="2">
        <f>+N1007-M1007</f>
        <v>20550</v>
      </c>
    </row>
    <row r="1008" spans="1:15" x14ac:dyDescent="0.2">
      <c r="A1008" t="s">
        <v>13</v>
      </c>
      <c r="B1008">
        <v>1</v>
      </c>
      <c r="C1008" t="s">
        <v>1157</v>
      </c>
      <c r="D1008" t="s">
        <v>1385</v>
      </c>
      <c r="E1008" t="s">
        <v>1340</v>
      </c>
      <c r="F1008" t="s">
        <v>1341</v>
      </c>
      <c r="G1008">
        <v>2</v>
      </c>
      <c r="H1008" t="s">
        <v>1412</v>
      </c>
      <c r="I1008" t="s">
        <v>1413</v>
      </c>
      <c r="J1008" t="s">
        <v>872</v>
      </c>
      <c r="K1008" t="s">
        <v>872</v>
      </c>
      <c r="L1008">
        <v>1</v>
      </c>
      <c r="M1008" s="5">
        <v>79990</v>
      </c>
      <c r="N1008" s="5">
        <f>+M1008*1.3</f>
        <v>103987</v>
      </c>
      <c r="O1008" s="2">
        <f>+N1008-M1008</f>
        <v>23997</v>
      </c>
    </row>
    <row r="1009" spans="1:15" x14ac:dyDescent="0.2">
      <c r="A1009" t="s">
        <v>35</v>
      </c>
      <c r="B1009">
        <v>1</v>
      </c>
      <c r="C1009" t="s">
        <v>1157</v>
      </c>
      <c r="D1009" t="s">
        <v>1385</v>
      </c>
      <c r="E1009" t="s">
        <v>1340</v>
      </c>
      <c r="F1009" t="s">
        <v>1341</v>
      </c>
      <c r="G1009">
        <v>2</v>
      </c>
      <c r="H1009" t="s">
        <v>1412</v>
      </c>
      <c r="I1009" t="s">
        <v>1413</v>
      </c>
      <c r="J1009" t="s">
        <v>872</v>
      </c>
      <c r="K1009" t="s">
        <v>872</v>
      </c>
      <c r="L1009">
        <v>1</v>
      </c>
      <c r="M1009" s="5">
        <v>79990</v>
      </c>
      <c r="N1009" s="5">
        <f>+M1009*1.3</f>
        <v>103987</v>
      </c>
      <c r="O1009" s="2">
        <f>+N1009-M1009</f>
        <v>23997</v>
      </c>
    </row>
    <row r="1010" spans="1:15" x14ac:dyDescent="0.2">
      <c r="A1010" t="s">
        <v>21</v>
      </c>
      <c r="B1010">
        <v>1</v>
      </c>
      <c r="C1010" t="s">
        <v>1157</v>
      </c>
      <c r="D1010" t="s">
        <v>1385</v>
      </c>
      <c r="E1010" t="s">
        <v>1340</v>
      </c>
      <c r="F1010" t="s">
        <v>1341</v>
      </c>
      <c r="G1010">
        <v>2</v>
      </c>
      <c r="H1010" t="s">
        <v>1412</v>
      </c>
      <c r="I1010" t="s">
        <v>1413</v>
      </c>
      <c r="J1010" t="s">
        <v>872</v>
      </c>
      <c r="K1010" t="s">
        <v>872</v>
      </c>
      <c r="L1010">
        <v>1</v>
      </c>
      <c r="M1010" s="5">
        <v>79990</v>
      </c>
      <c r="N1010" s="5">
        <f>+M1010*1.3</f>
        <v>103987</v>
      </c>
      <c r="O1010" s="2">
        <f>+N1010-M1010</f>
        <v>23997</v>
      </c>
    </row>
    <row r="1011" spans="1:15" x14ac:dyDescent="0.2">
      <c r="A1011" t="s">
        <v>28</v>
      </c>
      <c r="B1011">
        <v>1</v>
      </c>
      <c r="C1011" t="s">
        <v>1157</v>
      </c>
      <c r="D1011" t="s">
        <v>1231</v>
      </c>
      <c r="E1011" t="s">
        <v>1340</v>
      </c>
      <c r="F1011" t="s">
        <v>1341</v>
      </c>
      <c r="G1011">
        <v>2</v>
      </c>
      <c r="H1011" t="s">
        <v>1414</v>
      </c>
      <c r="I1011" t="s">
        <v>1415</v>
      </c>
      <c r="J1011" t="s">
        <v>872</v>
      </c>
      <c r="K1011" t="s">
        <v>872</v>
      </c>
      <c r="L1011">
        <v>1</v>
      </c>
      <c r="M1011" s="5">
        <v>69990</v>
      </c>
      <c r="N1011" s="5">
        <f>+M1011*1.3</f>
        <v>90987</v>
      </c>
      <c r="O1011" s="2">
        <f>+N1011-M1011</f>
        <v>20997</v>
      </c>
    </row>
    <row r="1012" spans="1:15" x14ac:dyDescent="0.2">
      <c r="A1012" t="s">
        <v>28</v>
      </c>
      <c r="B1012">
        <v>1</v>
      </c>
      <c r="C1012" t="s">
        <v>1157</v>
      </c>
      <c r="D1012" t="s">
        <v>1231</v>
      </c>
      <c r="E1012" t="s">
        <v>1340</v>
      </c>
      <c r="F1012" t="s">
        <v>1341</v>
      </c>
      <c r="G1012">
        <v>2</v>
      </c>
      <c r="H1012" t="s">
        <v>1416</v>
      </c>
      <c r="I1012" t="s">
        <v>1417</v>
      </c>
      <c r="J1012" t="s">
        <v>872</v>
      </c>
      <c r="K1012" t="s">
        <v>872</v>
      </c>
      <c r="L1012">
        <v>1</v>
      </c>
      <c r="M1012" s="5">
        <v>69990</v>
      </c>
      <c r="N1012" s="5">
        <f>+M1012*1.3</f>
        <v>90987</v>
      </c>
      <c r="O1012" s="2">
        <f>+N1012-M1012</f>
        <v>20997</v>
      </c>
    </row>
    <row r="1013" spans="1:15" x14ac:dyDescent="0.2">
      <c r="A1013" t="s">
        <v>28</v>
      </c>
      <c r="B1013">
        <v>1</v>
      </c>
      <c r="C1013" t="s">
        <v>1157</v>
      </c>
      <c r="D1013" t="s">
        <v>1418</v>
      </c>
      <c r="E1013" t="s">
        <v>1340</v>
      </c>
      <c r="F1013" t="s">
        <v>1341</v>
      </c>
      <c r="G1013">
        <v>1</v>
      </c>
      <c r="H1013" t="s">
        <v>1419</v>
      </c>
      <c r="I1013" t="s">
        <v>1420</v>
      </c>
      <c r="J1013" t="s">
        <v>872</v>
      </c>
      <c r="K1013" t="s">
        <v>872</v>
      </c>
      <c r="L1013">
        <v>1</v>
      </c>
      <c r="M1013" s="5">
        <v>89990</v>
      </c>
      <c r="N1013" s="5">
        <f>+M1013*1.3</f>
        <v>116987</v>
      </c>
      <c r="O1013" s="2">
        <f>+N1013-M1013</f>
        <v>26997</v>
      </c>
    </row>
    <row r="1014" spans="1:15" x14ac:dyDescent="0.2">
      <c r="A1014" t="s">
        <v>45</v>
      </c>
      <c r="B1014">
        <v>1</v>
      </c>
      <c r="C1014" t="s">
        <v>1157</v>
      </c>
      <c r="D1014" t="s">
        <v>1421</v>
      </c>
      <c r="E1014" t="s">
        <v>1340</v>
      </c>
      <c r="F1014" t="s">
        <v>1341</v>
      </c>
      <c r="G1014">
        <v>1</v>
      </c>
      <c r="H1014" t="s">
        <v>1422</v>
      </c>
      <c r="I1014" t="s">
        <v>1423</v>
      </c>
      <c r="J1014" t="s">
        <v>872</v>
      </c>
      <c r="K1014" t="s">
        <v>872</v>
      </c>
      <c r="L1014">
        <v>1</v>
      </c>
      <c r="M1014" s="5">
        <v>104990</v>
      </c>
      <c r="N1014" s="5">
        <f>+M1014*1.3</f>
        <v>136487</v>
      </c>
      <c r="O1014" s="2">
        <f>+N1014-M1014</f>
        <v>31497</v>
      </c>
    </row>
    <row r="1015" spans="1:15" x14ac:dyDescent="0.2">
      <c r="A1015" t="s">
        <v>35</v>
      </c>
      <c r="B1015">
        <v>1</v>
      </c>
      <c r="C1015" t="s">
        <v>1157</v>
      </c>
      <c r="D1015" t="s">
        <v>1421</v>
      </c>
      <c r="E1015" t="s">
        <v>1340</v>
      </c>
      <c r="F1015" t="s">
        <v>1341</v>
      </c>
      <c r="G1015">
        <v>1</v>
      </c>
      <c r="H1015" t="s">
        <v>1422</v>
      </c>
      <c r="I1015" t="s">
        <v>1423</v>
      </c>
      <c r="J1015" t="s">
        <v>872</v>
      </c>
      <c r="K1015" t="s">
        <v>872</v>
      </c>
      <c r="L1015">
        <v>1</v>
      </c>
      <c r="M1015" s="5">
        <v>104990</v>
      </c>
      <c r="N1015" s="5">
        <f>+M1015*1.3</f>
        <v>136487</v>
      </c>
      <c r="O1015" s="2">
        <f>+N1015-M1015</f>
        <v>31497</v>
      </c>
    </row>
    <row r="1016" spans="1:15" x14ac:dyDescent="0.2">
      <c r="A1016" t="s">
        <v>28</v>
      </c>
      <c r="B1016">
        <v>1</v>
      </c>
      <c r="C1016" t="s">
        <v>1157</v>
      </c>
      <c r="D1016" t="s">
        <v>1421</v>
      </c>
      <c r="E1016" t="s">
        <v>1340</v>
      </c>
      <c r="F1016" t="s">
        <v>1341</v>
      </c>
      <c r="G1016">
        <v>1</v>
      </c>
      <c r="H1016" t="s">
        <v>1422</v>
      </c>
      <c r="I1016" t="s">
        <v>1423</v>
      </c>
      <c r="J1016" t="s">
        <v>872</v>
      </c>
      <c r="K1016" t="s">
        <v>872</v>
      </c>
      <c r="L1016">
        <v>1</v>
      </c>
      <c r="M1016" s="5">
        <v>104990</v>
      </c>
      <c r="N1016" s="5">
        <f>+M1016*1.3</f>
        <v>136487</v>
      </c>
      <c r="O1016" s="2">
        <f>+N1016-M1016</f>
        <v>31497</v>
      </c>
    </row>
    <row r="1017" spans="1:15" x14ac:dyDescent="0.2">
      <c r="A1017" t="s">
        <v>45</v>
      </c>
      <c r="B1017">
        <v>1</v>
      </c>
      <c r="C1017" t="s">
        <v>1157</v>
      </c>
      <c r="D1017" t="s">
        <v>1421</v>
      </c>
      <c r="E1017" t="s">
        <v>1340</v>
      </c>
      <c r="F1017" t="s">
        <v>1341</v>
      </c>
      <c r="G1017">
        <v>1</v>
      </c>
      <c r="H1017" t="s">
        <v>1424</v>
      </c>
      <c r="I1017" t="s">
        <v>1425</v>
      </c>
      <c r="J1017" t="s">
        <v>872</v>
      </c>
      <c r="K1017" t="s">
        <v>872</v>
      </c>
      <c r="L1017">
        <v>1</v>
      </c>
      <c r="M1017" s="5">
        <v>104990</v>
      </c>
      <c r="N1017" s="5">
        <f>+M1017*1.3</f>
        <v>136487</v>
      </c>
      <c r="O1017" s="2">
        <f>+N1017-M1017</f>
        <v>31497</v>
      </c>
    </row>
    <row r="1018" spans="1:15" x14ac:dyDescent="0.2">
      <c r="A1018" t="s">
        <v>35</v>
      </c>
      <c r="B1018">
        <v>1</v>
      </c>
      <c r="C1018" t="s">
        <v>1157</v>
      </c>
      <c r="D1018" t="s">
        <v>1421</v>
      </c>
      <c r="E1018" t="s">
        <v>1340</v>
      </c>
      <c r="F1018" t="s">
        <v>1341</v>
      </c>
      <c r="G1018">
        <v>1</v>
      </c>
      <c r="H1018" t="s">
        <v>1424</v>
      </c>
      <c r="I1018" t="s">
        <v>1425</v>
      </c>
      <c r="J1018" t="s">
        <v>872</v>
      </c>
      <c r="K1018" t="s">
        <v>872</v>
      </c>
      <c r="L1018">
        <v>1</v>
      </c>
      <c r="M1018" s="5">
        <v>104990</v>
      </c>
      <c r="N1018" s="5">
        <f>+M1018*1.3</f>
        <v>136487</v>
      </c>
      <c r="O1018" s="2">
        <f>+N1018-M1018</f>
        <v>31497</v>
      </c>
    </row>
    <row r="1019" spans="1:15" x14ac:dyDescent="0.2">
      <c r="A1019" t="s">
        <v>28</v>
      </c>
      <c r="B1019">
        <v>1</v>
      </c>
      <c r="C1019" t="s">
        <v>1157</v>
      </c>
      <c r="D1019" t="s">
        <v>1421</v>
      </c>
      <c r="E1019" t="s">
        <v>1340</v>
      </c>
      <c r="F1019" t="s">
        <v>1341</v>
      </c>
      <c r="G1019">
        <v>1</v>
      </c>
      <c r="H1019" t="s">
        <v>1424</v>
      </c>
      <c r="I1019" t="s">
        <v>1425</v>
      </c>
      <c r="J1019" t="s">
        <v>872</v>
      </c>
      <c r="K1019" t="s">
        <v>872</v>
      </c>
      <c r="L1019">
        <v>1</v>
      </c>
      <c r="M1019" s="5">
        <v>104990</v>
      </c>
      <c r="N1019" s="5">
        <f>+M1019*1.3</f>
        <v>136487</v>
      </c>
      <c r="O1019" s="2">
        <f>+N1019-M1019</f>
        <v>31497</v>
      </c>
    </row>
    <row r="1020" spans="1:15" x14ac:dyDescent="0.2">
      <c r="A1020" t="s">
        <v>45</v>
      </c>
      <c r="B1020">
        <v>1</v>
      </c>
      <c r="C1020" t="s">
        <v>1157</v>
      </c>
      <c r="D1020" t="s">
        <v>1426</v>
      </c>
      <c r="E1020" t="s">
        <v>1340</v>
      </c>
      <c r="F1020" t="s">
        <v>1341</v>
      </c>
      <c r="G1020">
        <v>1</v>
      </c>
      <c r="H1020" t="s">
        <v>1427</v>
      </c>
      <c r="I1020" t="s">
        <v>1428</v>
      </c>
      <c r="J1020" t="s">
        <v>872</v>
      </c>
      <c r="K1020" t="s">
        <v>872</v>
      </c>
      <c r="L1020">
        <v>1</v>
      </c>
      <c r="M1020" s="5">
        <v>119990</v>
      </c>
      <c r="N1020" s="5">
        <f>+M1020*1.3</f>
        <v>155987</v>
      </c>
      <c r="O1020" s="2">
        <f>+N1020-M1020</f>
        <v>35997</v>
      </c>
    </row>
    <row r="1021" spans="1:15" x14ac:dyDescent="0.2">
      <c r="A1021" t="s">
        <v>35</v>
      </c>
      <c r="B1021">
        <v>1</v>
      </c>
      <c r="C1021" t="s">
        <v>1157</v>
      </c>
      <c r="D1021" t="s">
        <v>1426</v>
      </c>
      <c r="E1021" t="s">
        <v>1340</v>
      </c>
      <c r="F1021" t="s">
        <v>1341</v>
      </c>
      <c r="G1021">
        <v>1</v>
      </c>
      <c r="H1021" t="s">
        <v>1427</v>
      </c>
      <c r="I1021" t="s">
        <v>1428</v>
      </c>
      <c r="J1021" t="s">
        <v>872</v>
      </c>
      <c r="K1021" t="s">
        <v>872</v>
      </c>
      <c r="L1021">
        <v>1</v>
      </c>
      <c r="M1021" s="5">
        <v>119990</v>
      </c>
      <c r="N1021" s="5">
        <f>+M1021*1.3</f>
        <v>155987</v>
      </c>
      <c r="O1021" s="2">
        <f>+N1021-M1021</f>
        <v>35997</v>
      </c>
    </row>
    <row r="1022" spans="1:15" x14ac:dyDescent="0.2">
      <c r="A1022" t="s">
        <v>28</v>
      </c>
      <c r="B1022">
        <v>1</v>
      </c>
      <c r="C1022" t="s">
        <v>1157</v>
      </c>
      <c r="D1022" t="s">
        <v>1426</v>
      </c>
      <c r="E1022" t="s">
        <v>1340</v>
      </c>
      <c r="F1022" t="s">
        <v>1341</v>
      </c>
      <c r="G1022">
        <v>1</v>
      </c>
      <c r="H1022" t="s">
        <v>1427</v>
      </c>
      <c r="I1022" t="s">
        <v>1428</v>
      </c>
      <c r="J1022" t="s">
        <v>872</v>
      </c>
      <c r="K1022" t="s">
        <v>872</v>
      </c>
      <c r="L1022">
        <v>1</v>
      </c>
      <c r="M1022" s="5">
        <v>119990</v>
      </c>
      <c r="N1022" s="5">
        <f>+M1022*1.3</f>
        <v>155987</v>
      </c>
      <c r="O1022" s="2">
        <f>+N1022-M1022</f>
        <v>35997</v>
      </c>
    </row>
    <row r="1023" spans="1:15" x14ac:dyDescent="0.2">
      <c r="A1023" t="s">
        <v>45</v>
      </c>
      <c r="B1023">
        <v>1</v>
      </c>
      <c r="C1023" t="s">
        <v>1157</v>
      </c>
      <c r="D1023" t="s">
        <v>1426</v>
      </c>
      <c r="E1023" t="s">
        <v>1340</v>
      </c>
      <c r="F1023" t="s">
        <v>1341</v>
      </c>
      <c r="G1023">
        <v>1</v>
      </c>
      <c r="H1023" t="s">
        <v>1429</v>
      </c>
      <c r="I1023" t="s">
        <v>1430</v>
      </c>
      <c r="J1023" t="s">
        <v>872</v>
      </c>
      <c r="K1023" t="s">
        <v>872</v>
      </c>
      <c r="L1023">
        <v>1</v>
      </c>
      <c r="M1023" s="5">
        <v>119990</v>
      </c>
      <c r="N1023" s="5">
        <f>+M1023*1.3</f>
        <v>155987</v>
      </c>
      <c r="O1023" s="2">
        <f>+N1023-M1023</f>
        <v>35997</v>
      </c>
    </row>
    <row r="1024" spans="1:15" x14ac:dyDescent="0.2">
      <c r="A1024" t="s">
        <v>35</v>
      </c>
      <c r="B1024">
        <v>1</v>
      </c>
      <c r="C1024" t="s">
        <v>1157</v>
      </c>
      <c r="D1024" t="s">
        <v>1426</v>
      </c>
      <c r="E1024" t="s">
        <v>1340</v>
      </c>
      <c r="F1024" t="s">
        <v>1341</v>
      </c>
      <c r="G1024">
        <v>1</v>
      </c>
      <c r="H1024" t="s">
        <v>1429</v>
      </c>
      <c r="I1024" t="s">
        <v>1430</v>
      </c>
      <c r="J1024" t="s">
        <v>872</v>
      </c>
      <c r="K1024" t="s">
        <v>872</v>
      </c>
      <c r="L1024">
        <v>1</v>
      </c>
      <c r="M1024" s="5">
        <v>119990</v>
      </c>
      <c r="N1024" s="5">
        <f>+M1024*1.3</f>
        <v>155987</v>
      </c>
      <c r="O1024" s="2">
        <f>+N1024-M1024</f>
        <v>35997</v>
      </c>
    </row>
    <row r="1025" spans="1:15" x14ac:dyDescent="0.2">
      <c r="A1025" t="s">
        <v>28</v>
      </c>
      <c r="B1025">
        <v>1</v>
      </c>
      <c r="C1025" t="s">
        <v>1157</v>
      </c>
      <c r="D1025" t="s">
        <v>1426</v>
      </c>
      <c r="E1025" t="s">
        <v>1340</v>
      </c>
      <c r="F1025" t="s">
        <v>1341</v>
      </c>
      <c r="G1025">
        <v>1</v>
      </c>
      <c r="H1025" t="s">
        <v>1429</v>
      </c>
      <c r="I1025" t="s">
        <v>1430</v>
      </c>
      <c r="J1025" t="s">
        <v>872</v>
      </c>
      <c r="K1025" t="s">
        <v>872</v>
      </c>
      <c r="L1025">
        <v>1</v>
      </c>
      <c r="M1025" s="5">
        <v>119990</v>
      </c>
      <c r="N1025" s="5">
        <f>+M1025*1.3</f>
        <v>155987</v>
      </c>
      <c r="O1025" s="2">
        <f>+N1025-M1025</f>
        <v>35997</v>
      </c>
    </row>
    <row r="1026" spans="1:15" x14ac:dyDescent="0.2">
      <c r="A1026" t="s">
        <v>45</v>
      </c>
      <c r="B1026">
        <v>1</v>
      </c>
      <c r="C1026" t="s">
        <v>1157</v>
      </c>
      <c r="D1026" t="s">
        <v>1431</v>
      </c>
      <c r="E1026" t="s">
        <v>1340</v>
      </c>
      <c r="F1026" t="s">
        <v>1341</v>
      </c>
      <c r="G1026">
        <v>1</v>
      </c>
      <c r="H1026" t="s">
        <v>1432</v>
      </c>
      <c r="I1026" t="s">
        <v>1433</v>
      </c>
      <c r="J1026" t="s">
        <v>872</v>
      </c>
      <c r="K1026" t="s">
        <v>872</v>
      </c>
      <c r="L1026">
        <v>1</v>
      </c>
      <c r="M1026" s="5">
        <v>119990</v>
      </c>
      <c r="N1026" s="5">
        <f>+M1026*1.3</f>
        <v>155987</v>
      </c>
      <c r="O1026" s="2">
        <f>+N1026-M1026</f>
        <v>35997</v>
      </c>
    </row>
    <row r="1027" spans="1:15" x14ac:dyDescent="0.2">
      <c r="A1027" t="s">
        <v>35</v>
      </c>
      <c r="B1027">
        <v>1</v>
      </c>
      <c r="C1027" t="s">
        <v>1157</v>
      </c>
      <c r="D1027" t="s">
        <v>1431</v>
      </c>
      <c r="E1027" t="s">
        <v>1340</v>
      </c>
      <c r="F1027" t="s">
        <v>1341</v>
      </c>
      <c r="G1027">
        <v>1</v>
      </c>
      <c r="H1027" t="s">
        <v>1432</v>
      </c>
      <c r="I1027" t="s">
        <v>1433</v>
      </c>
      <c r="J1027" t="s">
        <v>872</v>
      </c>
      <c r="K1027" t="s">
        <v>872</v>
      </c>
      <c r="L1027">
        <v>1</v>
      </c>
      <c r="M1027" s="5">
        <v>119990</v>
      </c>
      <c r="N1027" s="5">
        <f>+M1027*1.3</f>
        <v>155987</v>
      </c>
      <c r="O1027" s="2">
        <f>+N1027-M1027</f>
        <v>35997</v>
      </c>
    </row>
    <row r="1030" spans="1:15" x14ac:dyDescent="0.2">
      <c r="N1030" s="5">
        <v>11990</v>
      </c>
    </row>
    <row r="1031" spans="1:15" x14ac:dyDescent="0.2">
      <c r="N1031" s="5">
        <f>+N1030/10</f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Contreras Castro</dc:creator>
  <cp:lastModifiedBy>Juan Carlos Contreras Castro</cp:lastModifiedBy>
  <dcterms:created xsi:type="dcterms:W3CDTF">2026-07-30T16:10:44Z</dcterms:created>
  <dcterms:modified xsi:type="dcterms:W3CDTF">2026-07-30T21:58:00Z</dcterms:modified>
</cp:coreProperties>
</file>