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ancarloscontreras/Desktop/RMG_Parts_Project/landing/assets/img/Fotos RMG PARTS/productos/"/>
    </mc:Choice>
  </mc:AlternateContent>
  <xr:revisionPtr revIDLastSave="0" documentId="13_ncr:1_{0D94B6A9-4F00-574F-8D19-5E3D099E4AA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Leads" sheetId="1" r:id="rId1"/>
  </sheets>
  <definedNames>
    <definedName name="_xlnm._FilterDatabase" localSheetId="0" hidden="1">Leads!$A$1:$N$246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</calcChain>
</file>

<file path=xl/sharedStrings.xml><?xml version="1.0" encoding="utf-8"?>
<sst xmlns="http://schemas.openxmlformats.org/spreadsheetml/2006/main" count="3198" uniqueCount="1357">
  <si>
    <t>Nombre</t>
  </si>
  <si>
    <t>Teléfono</t>
  </si>
  <si>
    <t>Origen</t>
  </si>
  <si>
    <t>Vehículo(s) Preguntado</t>
  </si>
  <si>
    <t>Fecha de Creación</t>
  </si>
  <si>
    <t>Estado</t>
  </si>
  <si>
    <t>Asignado</t>
  </si>
  <si>
    <t>Última</t>
  </si>
  <si>
    <t>Último Msg Cliente</t>
  </si>
  <si>
    <t>Última Acción Vendedor</t>
  </si>
  <si>
    <t>Detalle Bitácora</t>
  </si>
  <si>
    <t>Latencia (días)</t>
  </si>
  <si>
    <t>Brecha (días)</t>
  </si>
  <si>
    <t>Chileautos</t>
  </si>
  <si>
    <t>SUZUKI BALENO GLS HB 1.5 AC MT · 2025 · 17.000 km · $12.790.000</t>
  </si>
  <si>
    <t>10-06-2026</t>
  </si>
  <si>
    <t>Abandonado</t>
  </si>
  <si>
    <t>Cfracachan</t>
  </si>
  <si>
    <t>—</t>
  </si>
  <si>
    <t>.</t>
  </si>
  <si>
    <t>+56939168987</t>
  </si>
  <si>
    <t>Meta Ads</t>
  </si>
  <si>
    <t>Invierno sobre Ruedas | Hasta 8% dcto</t>
  </si>
  <si>
    <t>15-07-2026</t>
  </si>
  <si>
    <t>Contactado</t>
  </si>
  <si>
    <t>Dnarvaez</t>
  </si>
  <si>
    <t>14-07-2026</t>
  </si>
  <si>
    <t>14/07/2026 09:43</t>
  </si>
  <si>
    <t>15/07/2026 11:10</t>
  </si>
  <si>
    <t>llame a cliente y no contesta. Le volvi a enviar whatsapp</t>
  </si>
  <si>
    <t>-1.1</t>
  </si>
  <si>
    <t>+56992899412</t>
  </si>
  <si>
    <t>Tu oportunidad de tener una Peugeot 3008 está aquí</t>
  </si>
  <si>
    <t>18-07-2026</t>
  </si>
  <si>
    <t>30-06-2026</t>
  </si>
  <si>
    <t>30/06/2026 23:11</t>
  </si>
  <si>
    <t>18/07/2026 12:27</t>
  </si>
  <si>
    <t>El cliente no contesto en ninguna de las oportunidades</t>
  </si>
  <si>
    <t>-17.6</t>
  </si>
  <si>
    <t>Tu oportunidad está aquí</t>
  </si>
  <si>
    <t>20-06-2026</t>
  </si>
  <si>
    <t>-2.9</t>
  </si>
  <si>
    <t>WhatsApp</t>
  </si>
  <si>
    <t>RAM 700 DCAB SLT 1.4 · 2018 · 160.579 km · $7.390.000</t>
  </si>
  <si>
    <t>1.2</t>
  </si>
  <si>
    <t>FORD FOCUS 2.0 SE 4X2 AT 4P · 2014 · 62.945 km · $6.190.000</t>
  </si>
  <si>
    <t>08-06-2026</t>
  </si>
  <si>
    <t>11-06-2026</t>
  </si>
  <si>
    <t>.bp</t>
  </si>
  <si>
    <t>+56974260872</t>
  </si>
  <si>
    <t>Tu oportunidad de tener una Chevrolet Silverado está aquí</t>
  </si>
  <si>
    <t>01-07-2026</t>
  </si>
  <si>
    <t>01/07/2026 16:12</t>
  </si>
  <si>
    <t>01/07/2026 16:05</t>
  </si>
  <si>
    <t>cliente contactado. busca que sea facturable</t>
  </si>
  <si>
    <t>0.0</t>
  </si>
  <si>
    <t>(';')c")</t>
  </si>
  <si>
    <t>+56932614735</t>
  </si>
  <si>
    <t>Hola, quiero vender mi auto.</t>
  </si>
  <si>
    <t>13-07-2026</t>
  </si>
  <si>
    <t>comprador</t>
  </si>
  <si>
    <t>27-06-2026</t>
  </si>
  <si>
    <t>27/06/2026 00:06</t>
  </si>
  <si>
    <t>13/07/2026 13:01</t>
  </si>
  <si>
    <t>FUERA DE LAS POLITICAS DE COMPRAS</t>
  </si>
  <si>
    <t>-16.5</t>
  </si>
  <si>
    <t>////</t>
  </si>
  <si>
    <t>+56953912397</t>
  </si>
  <si>
    <t>Anuncio Meta Ads</t>
  </si>
  <si>
    <t>02-07-2026</t>
  </si>
  <si>
    <t>14-06-2026</t>
  </si>
  <si>
    <t>14/06/2026 16:04</t>
  </si>
  <si>
    <t>02/07/2026 15:42</t>
  </si>
  <si>
    <t>se cierra lead</t>
  </si>
  <si>
    <t>-18.0</t>
  </si>
  <si>
    <t>&amp;€£¥🥋</t>
  </si>
  <si>
    <t>+56950016302</t>
  </si>
  <si>
    <t>Compramos tu Hyundai</t>
  </si>
  <si>
    <t>15/07/2026 14:15</t>
  </si>
  <si>
    <t>15/07/2026 14:54</t>
  </si>
  <si>
    <t>🚗 Datos retoma: HYUNDAI VERNA CB 1.4 2021 | Patente: PZTY87 | Km: 136000 | Versión: PLUS | Color: BLANCO</t>
  </si>
  <si>
    <t>-0.0</t>
  </si>
  <si>
    <t>13-06-2026</t>
  </si>
  <si>
    <t>3.1</t>
  </si>
  <si>
    <t>⚜️ 𝑳𝒂𝒖𝒓𝒊𝒕𝒂 ⚜️</t>
  </si>
  <si>
    <t>+56937744923</t>
  </si>
  <si>
    <t>Estoy interesado en este anuncio que vi en Yapo: https://www.yapo.cl/autos-usado</t>
  </si>
  <si>
    <t>15-06-2026</t>
  </si>
  <si>
    <t>15/06/2026 12:24</t>
  </si>
  <si>
    <t>13/07/2026 16:24</t>
  </si>
  <si>
    <t>INDICA NO ESTAR INTERESADA</t>
  </si>
  <si>
    <t>-28.2</t>
  </si>
  <si>
    <t>🇵🇪Ccamihua Esteban🇨🇱</t>
  </si>
  <si>
    <t>+56961427640</t>
  </si>
  <si>
    <t>21-06-2026</t>
  </si>
  <si>
    <t>21/06/2026 22:02</t>
  </si>
  <si>
    <t>13/07/2026 16:25</t>
  </si>
  <si>
    <t>NO RESPONDIO LLAMADA</t>
  </si>
  <si>
    <t>-21.8</t>
  </si>
  <si>
    <t>❤❤Eiteani❤❤</t>
  </si>
  <si>
    <t>+56940765559</t>
  </si>
  <si>
    <t>MercadoLibre</t>
  </si>
  <si>
    <t>Hola, tengo algunas preguntas sobre Chery Tiggo 2 Gls 1.5 Cvt At Ac. https://aut</t>
  </si>
  <si>
    <t>29-06-2026</t>
  </si>
  <si>
    <t>29/06/2026 20:45</t>
  </si>
  <si>
    <t>01/07/2026 13:00</t>
  </si>
  <si>
    <t>le informe a cliente que el tiigo 2 se vendio. hoy lo llame para ofrecerle el c3 y otras opciones e iondica que no esta interesado. Se abandona lead</t>
  </si>
  <si>
    <t>-1.7</t>
  </si>
  <si>
    <t>28-06-2026</t>
  </si>
  <si>
    <t>-1.6</t>
  </si>
  <si>
    <t>🌻</t>
  </si>
  <si>
    <t>+56926389559</t>
  </si>
  <si>
    <t>Hola, tengo algunas preguntas sobre 2019 Citroën C3 Aircross 1.2t Puretech 110 A</t>
  </si>
  <si>
    <t>13/06/2026 22:39</t>
  </si>
  <si>
    <t>13/07/2026 16:33</t>
  </si>
  <si>
    <t>NO ME RESPONDE LLAMADA ESPERAMOS RESPUESTA DE WTSP</t>
  </si>
  <si>
    <t>-29.7</t>
  </si>
  <si>
    <t>🍀✨</t>
  </si>
  <si>
    <t>+56976260463</t>
  </si>
  <si>
    <t>Hola buenas tardes</t>
  </si>
  <si>
    <t>03-07-2026</t>
  </si>
  <si>
    <t>01/07/2026 17:28</t>
  </si>
  <si>
    <t>03/07/2026 13:35</t>
  </si>
  <si>
    <t>Hoy se le envio la llave</t>
  </si>
  <si>
    <t>-1.8</t>
  </si>
  <si>
    <t>💪</t>
  </si>
  <si>
    <t>+56956021694</t>
  </si>
  <si>
    <t>22-06-2026</t>
  </si>
  <si>
    <t>22/06/2026 07:51</t>
  </si>
  <si>
    <t>13/07/2026 16:36</t>
  </si>
  <si>
    <t>NO RESPONDE. NO SE QUE VEHICULO ESTA COTIZANDO</t>
  </si>
  <si>
    <t>-21.4</t>
  </si>
  <si>
    <t>🤩🤩</t>
  </si>
  <si>
    <t>+56926392633</t>
  </si>
  <si>
    <t>Encontré en DramaBox los populares dramas que están arrasando en toda la web.
ht</t>
  </si>
  <si>
    <t>07-07-2026</t>
  </si>
  <si>
    <t>07/07/2026 06:51</t>
  </si>
  <si>
    <t>07/07/2026 10:34</t>
  </si>
  <si>
    <t>ABANDONADO</t>
  </si>
  <si>
    <t>-0.2</t>
  </si>
  <si>
    <t>🦦</t>
  </si>
  <si>
    <t>+56976219627</t>
  </si>
  <si>
    <t>Peugeot 3008 Hybrid + TV de Regalo 📺</t>
  </si>
  <si>
    <t>10/06/2026 20:15</t>
  </si>
  <si>
    <t>13/07/2026 16:43</t>
  </si>
  <si>
    <t>NO ME RESPONDE LE DEJE UN WTSP DICIENDO QUE TENEMOS DISPONIBLE LA GT AUN</t>
  </si>
  <si>
    <t>-32.9</t>
  </si>
  <si>
    <t>🪳</t>
  </si>
  <si>
    <t>+56930036128</t>
  </si>
  <si>
    <t>¡Hola! Quiero más información</t>
  </si>
  <si>
    <t>21/06/2026 22:18</t>
  </si>
  <si>
    <t>13/07/2026 16:44</t>
  </si>
  <si>
    <t>NO ME RESPONDE LLAMADAS</t>
  </si>
  <si>
    <t>😍$@NDR@😍</t>
  </si>
  <si>
    <t>+56968063300</t>
  </si>
  <si>
    <t>Peugeot 3008 Premier Hybrid</t>
  </si>
  <si>
    <t>17-07-2026</t>
  </si>
  <si>
    <t>16-07-2026</t>
  </si>
  <si>
    <t>16/07/2026 09:22</t>
  </si>
  <si>
    <t>17/07/2026 10:14</t>
  </si>
  <si>
    <t>Cliente contactado</t>
  </si>
  <si>
    <t>-1.0</t>
  </si>
  <si>
    <t>Negociación</t>
  </si>
  <si>
    <t>18-06-2026</t>
  </si>
  <si>
    <t>ABRAHAM PAVEZ BRIONES</t>
  </si>
  <si>
    <t>+56977604482</t>
  </si>
  <si>
    <t>PEUGEOT 3008 P64 ALLURE HYBRID 1.2 AT · 2025 · 15.000 km · $23.590.000</t>
  </si>
  <si>
    <t>09-07-2026</t>
  </si>
  <si>
    <t>09/07/2026 12:01</t>
  </si>
  <si>
    <t>13/07/2026 09:50</t>
  </si>
  <si>
    <t>Se le hace seguimiento al cliente para consultarle por la venta de su autos, no lo he llamado para estirar un poco la visita a la sucursal dando chance que llegue la 3008</t>
  </si>
  <si>
    <t>6.0</t>
  </si>
  <si>
    <t>-3.9</t>
  </si>
  <si>
    <t>Yapo</t>
  </si>
  <si>
    <t>Ahmed</t>
  </si>
  <si>
    <t>+56958467033</t>
  </si>
  <si>
    <t>Referido</t>
  </si>
  <si>
    <t>CHERY TIGGO 7 PRO 1.5T GLX 4X2 CVT AT 5P · 2024 · 42.000 km · $12.590.000 — 1. Cuantos kilómetros tiene el Tiggo 7? 2. Es único dueño? Tiene prenda o deuda? 3. Se puede llevar a revisión en Concesionario Chery antes de comprar? 4. La comisión de cuánto es exactamente?</t>
  </si>
  <si>
    <t>03/07/2026 16:41</t>
  </si>
  <si>
    <t>Cliente me corta la llamada al identificarme de parte de RMG</t>
  </si>
  <si>
    <t>alan</t>
  </si>
  <si>
    <t>+56951464000</t>
  </si>
  <si>
    <t>29/06/2026 18:34</t>
  </si>
  <si>
    <t>01/07/2026 13:25</t>
  </si>
  <si>
    <t>llame nuevamente a cliente y me desvio la llamada, Se envia plantilla de saludo</t>
  </si>
  <si>
    <t>Alanys Alondra Jara Gómez</t>
  </si>
  <si>
    <t>+56959097903</t>
  </si>
  <si>
    <t>DFSK 580 GLORY COMFORT 1.8 MT AC · 2022 · 55.000 km · $8.290.000</t>
  </si>
  <si>
    <t>06-07-2026</t>
  </si>
  <si>
    <t>13/07/2026 17:20</t>
  </si>
  <si>
    <t>DICE QUE DIJO HACE VARIOS DIAS QUE NO ESTUVO COTIZANDO, PIDE QUE SAQUEN EL NUMERO DEL SISTEMA</t>
  </si>
  <si>
    <t>7.1</t>
  </si>
  <si>
    <t>Alejandra Pino</t>
  </si>
  <si>
    <t>+56988979866</t>
  </si>
  <si>
    <t>Hola, tengo algunas preguntas sobre Mitsubishi Montero Sport G2 2.5 At 4x2. http</t>
  </si>
  <si>
    <t>08-07-2026</t>
  </si>
  <si>
    <t>08/07/2026 16:30</t>
  </si>
  <si>
    <t>08/07/2026 16:16</t>
  </si>
  <si>
    <t>clienta quiere venir a ver el vehiculo</t>
  </si>
  <si>
    <t>TOYOTA RAV4 ADVENTURE 2.0 MT AC · 2019 · 94.000 km · $12.990.000</t>
  </si>
  <si>
    <t>Alejandro</t>
  </si>
  <si>
    <t>+56998201358</t>
  </si>
  <si>
    <t>13/07/2026 10:53</t>
  </si>
  <si>
    <t>17/07/2026 15:01</t>
  </si>
  <si>
    <t>🚗 Datos retoma: PEUGEOT LANDTREK 2019 | Patente: SGVS58 | Km: 109000 | Versión: 4X4 1.9 | Color: GRIS</t>
  </si>
  <si>
    <t>-4.2</t>
  </si>
  <si>
    <t>Alejandro Arratia</t>
  </si>
  <si>
    <t>+56971822409</t>
  </si>
  <si>
    <t>CHERY ARRIZO 3 GLS 1.5 MT AC · 2018 · 148.000 km · $4.790.000</t>
  </si>
  <si>
    <t>10-07-2026</t>
  </si>
  <si>
    <t>18/07/2026 10:46</t>
  </si>
  <si>
    <t>llame a cliente en reiteradas ocasiones. No contesto ni llamadas ni whatsapp. Se abandona lead</t>
  </si>
  <si>
    <t>8.0</t>
  </si>
  <si>
    <t>Alejandro Ortega Parraguez</t>
  </si>
  <si>
    <t>+56971969396</t>
  </si>
  <si>
    <t>MITSUBISHI MONTERO MONTERO SPORT 2.5 AT · 2014 · 187.000 km · $11.590.000</t>
  </si>
  <si>
    <t>17/07/2026 10:16</t>
  </si>
  <si>
    <t>Teléfono efectivamente inactivo</t>
  </si>
  <si>
    <t>7.0</t>
  </si>
  <si>
    <t>Alex - SEWA</t>
  </si>
  <si>
    <t>+821080512207</t>
  </si>
  <si>
    <t>Hola, cómo están?
Soy Alex y trabajo en SEWA MOTORS, una empresa de Corea del S</t>
  </si>
  <si>
    <t>20-07-2026</t>
  </si>
  <si>
    <t>19-07-2026</t>
  </si>
  <si>
    <t>19/07/2026 22:07</t>
  </si>
  <si>
    <t>20/07/2026 09:43</t>
  </si>
  <si>
    <t>Empresa ofreciendo servicios</t>
  </si>
  <si>
    <t>-0.5</t>
  </si>
  <si>
    <t>PEUGEOT 3008 ALLURE PACK BLUE HDI 130 EAT8 · 2024 · 57.500 km · $17.990.000</t>
  </si>
  <si>
    <t>Alexis</t>
  </si>
  <si>
    <t>+56945649372</t>
  </si>
  <si>
    <t>02/07/2026 17:12</t>
  </si>
  <si>
    <t>02/07/2026 17:15</t>
  </si>
  <si>
    <t>cliente rechazado por financiera. se evaluaron 2 rut. Se abandona Lead</t>
  </si>
  <si>
    <t>-0.8</t>
  </si>
  <si>
    <t>Alexis Jonathan Rojas Delgado</t>
  </si>
  <si>
    <t>+56953103446</t>
  </si>
  <si>
    <t>PEUGEOT 3008 P64 PREMIER HYBRID 136HP AT · 2025 · 8.500 km · $25.990.000</t>
  </si>
  <si>
    <t>20/07/2026 17:58</t>
  </si>
  <si>
    <t>Se llama al cliente y no sale numero de telefono activo, se revisa para llamar por whatsapp y tampoco aparece el numero</t>
  </si>
  <si>
    <t>0.3</t>
  </si>
  <si>
    <t>Alexis Vasquez</t>
  </si>
  <si>
    <t>+56998257357</t>
  </si>
  <si>
    <t>18/07/2026 10:36</t>
  </si>
  <si>
    <t>18/07/2026 11:17</t>
  </si>
  <si>
    <t>cliente no interesado por el momento. Solo estaba consultando. Se abandona Lead</t>
  </si>
  <si>
    <t>le envie whatsapp a cliente</t>
  </si>
  <si>
    <t>Alfredo Figueroa Araneda</t>
  </si>
  <si>
    <t>+56994300839</t>
  </si>
  <si>
    <t>11-07-2026</t>
  </si>
  <si>
    <t>15/07/2026 12:47</t>
  </si>
  <si>
    <t>17/07/2026 12:40</t>
  </si>
  <si>
    <t>El auto en parte de pago no cumple con las políticas de retoma</t>
  </si>
  <si>
    <t>-2.0</t>
  </si>
  <si>
    <t>Alicia Alejandra Tejos Alegría</t>
  </si>
  <si>
    <t>+56993528868</t>
  </si>
  <si>
    <t>En Proceso</t>
  </si>
  <si>
    <t>18/07/2026 12:03</t>
  </si>
  <si>
    <t>numero manda a buzon. Se insistira mas tarde</t>
  </si>
  <si>
    <t>0.1</t>
  </si>
  <si>
    <t>𝓐𝓵𝓵𝓮𝓷𝓜𝓪𝓻𝓵𝓮𝔂✈️📍🗿🇧🇷🇦🇷🇫🇷🇨🇺🇲🇽🇵🇪🇧🇴🇨🇴🇺🇾</t>
  </si>
  <si>
    <t>+56946159176</t>
  </si>
  <si>
    <t>13/07/2026 13:15</t>
  </si>
  <si>
    <t>17/07/2026 14:06</t>
  </si>
  <si>
    <t>Cliente indica que anda buscando algo en el porte de silverado, se dejara agendado por si tenemos algo la próxima semana</t>
  </si>
  <si>
    <t>-4.0</t>
  </si>
  <si>
    <t>-0.9</t>
  </si>
  <si>
    <t>Alvaro Antonio Salinas Ca</t>
  </si>
  <si>
    <t>+56998731720</t>
  </si>
  <si>
    <t>Seguimiento</t>
  </si>
  <si>
    <t>22/06/2026 14:57</t>
  </si>
  <si>
    <t>01/07/2026 13:49</t>
  </si>
  <si>
    <t>-9.0</t>
  </si>
  <si>
    <t>Alvaro Ignacio Chandía Cofré</t>
  </si>
  <si>
    <t>+56941098767</t>
  </si>
  <si>
    <t>10/07/2026 10:47</t>
  </si>
  <si>
    <t>Llame al cliente y efectivamente desistió de la compra porque le encuentra que tiene mucho kilometraje</t>
  </si>
  <si>
    <t>2.0</t>
  </si>
  <si>
    <t>Hola, tengo algunas preguntas sobre 2019 Toyota Rav4 Adventure 2.0 Mt Ac. https:</t>
  </si>
  <si>
    <t>9.3</t>
  </si>
  <si>
    <t>Alvaro Orellana</t>
  </si>
  <si>
    <t>+56990806101</t>
  </si>
  <si>
    <t>07/07/2026 14:50</t>
  </si>
  <si>
    <t>07/07/2026 17:02</t>
  </si>
  <si>
    <t>Carlos estoy revisando con el cliente si es facturarle</t>
  </si>
  <si>
    <t>-0.1</t>
  </si>
  <si>
    <t>1.1</t>
  </si>
  <si>
    <t>American Chile Servicios</t>
  </si>
  <si>
    <t>+56987831213</t>
  </si>
  <si>
    <t>🔥 ¡Oportunidad Única!</t>
  </si>
  <si>
    <t>16-06-2026</t>
  </si>
  <si>
    <t>16/06/2026 10:22</t>
  </si>
  <si>
    <t>02/07/2026 12:05</t>
  </si>
  <si>
    <t>-16.1</t>
  </si>
  <si>
    <t>ANDRES</t>
  </si>
  <si>
    <t>+5699821721</t>
  </si>
  <si>
    <t>CHEVROLET SILVERADO LT TRAILBOSS Z71 5.3 4X4 AT 4P · 2023 · 29.590 km · $35.990.000</t>
  </si>
  <si>
    <t>18/07/2026 11:11</t>
  </si>
  <si>
    <t>cliente contactado. Indica que solo estaba mirando, me pregunto si la camioneta descontaba iva. Al no haber interes del cliente por ninguna otra opcion, se abandona lead</t>
  </si>
  <si>
    <t>Andres Bravo Tapia</t>
  </si>
  <si>
    <t>+56951291412</t>
  </si>
  <si>
    <t>30/06/2026 09:48</t>
  </si>
  <si>
    <t>09/07/2026 17:26</t>
  </si>
  <si>
    <t>logre aprobarle el credito con un minimo de pie. cliente no volvio a contestar ni mensajes ni llamadas. Se cierra lead</t>
  </si>
  <si>
    <t>-9.3</t>
  </si>
  <si>
    <t>Andrés Leiva</t>
  </si>
  <si>
    <t>+56999139028</t>
  </si>
  <si>
    <t>03/07/2026 20:27</t>
  </si>
  <si>
    <t>03/07/2026 20:29</t>
  </si>
  <si>
    <t>12-06-2026</t>
  </si>
  <si>
    <t>Angelo Aranda</t>
  </si>
  <si>
    <t>+56996552625</t>
  </si>
  <si>
    <t>HYUNDAI CRETA GRAND 2.0 AT · 2022 · 84.000 km · $16.990.000</t>
  </si>
  <si>
    <t>13/07/2026 10:05</t>
  </si>
  <si>
    <t>cliente contactadioo. Indica que no hizo ninguna consulta ni esta interesada en comrpar algun vehiculo. Se cierra lead</t>
  </si>
  <si>
    <t>Anny Martinez</t>
  </si>
  <si>
    <t>+56996355616</t>
  </si>
  <si>
    <t>14/07/2026 02:08</t>
  </si>
  <si>
    <t>14/07/2026 09:54</t>
  </si>
  <si>
    <t>cliente contactado</t>
  </si>
  <si>
    <t>-0.3</t>
  </si>
  <si>
    <t>Hola, tengo algunas preguntas sobre Ford Focus 2.0 Se 4p At. https://auto.mercad</t>
  </si>
  <si>
    <t>25-06-2026</t>
  </si>
  <si>
    <t>aquaclean soluciones</t>
  </si>
  <si>
    <t>+56933058954</t>
  </si>
  <si>
    <t>Hola, tengo algunas preguntas sobre Chery Arrizo 3 Gls 1.5 Mt Ac. https://auto.m</t>
  </si>
  <si>
    <t>04-07-2026</t>
  </si>
  <si>
    <t>04/07/2026 13:11</t>
  </si>
  <si>
    <t>07/07/2026 11:43</t>
  </si>
  <si>
    <t>Se llama al cliente y no se logra contacto, es un numero de empresa pero solo maneja whatsapp y no responde</t>
  </si>
  <si>
    <t>Arias</t>
  </si>
  <si>
    <t>+56985447014</t>
  </si>
  <si>
    <t>12-07-2026</t>
  </si>
  <si>
    <t>12/07/2026 07:26</t>
  </si>
  <si>
    <t>18/07/2026 11:02</t>
  </si>
  <si>
    <t>Se llama al cliente en varias oportunidades y no contesta, se le dejaron mensajes y tampoco contesta, se dara de baja al lead</t>
  </si>
  <si>
    <t>-6.1</t>
  </si>
  <si>
    <t>OPEL MOKKA GS LINE 1.2T AT · 2024 · 42.500 km · $14.490.000</t>
  </si>
  <si>
    <t>Cliente indica que no esta interesado</t>
  </si>
  <si>
    <t>1.0</t>
  </si>
  <si>
    <t>Arturo Calderón</t>
  </si>
  <si>
    <t>+56995248806</t>
  </si>
  <si>
    <t>Peugeot Landtrek 4x4 BlueHDi</t>
  </si>
  <si>
    <t>13/07/2026 22:41</t>
  </si>
  <si>
    <t>15/07/2026 11:14</t>
  </si>
  <si>
    <t>llame a cliente y no contesto. Volvi a enviarle whatsapp</t>
  </si>
  <si>
    <t>-1.5</t>
  </si>
  <si>
    <t>Autopo</t>
  </si>
  <si>
    <t>+56975880808</t>
  </si>
  <si>
    <t>¡Hola! 👋 Te invito a conocer autopo.cl, nuestro nuevo sitio de clasificados.
S</t>
  </si>
  <si>
    <t>08/07/2026 18:05</t>
  </si>
  <si>
    <t>09/07/2026 09:51</t>
  </si>
  <si>
    <t>publicidad</t>
  </si>
  <si>
    <t>-0.7</t>
  </si>
  <si>
    <t>AUTOPO SpA AUTOPO SpA</t>
  </si>
  <si>
    <t>+56973099913</t>
  </si>
  <si>
    <t>09/07/2026 15:50</t>
  </si>
  <si>
    <t>09/07/2026 17:03</t>
  </si>
  <si>
    <t>Se vuelve a llamar y no contesta</t>
  </si>
  <si>
    <t>autoscanequipos</t>
  </si>
  <si>
    <t>+56993313155</t>
  </si>
  <si>
    <t>08/06/2026 18:35</t>
  </si>
  <si>
    <t>01/07/2026 13:34</t>
  </si>
  <si>
    <t>cliente no contesta llamadas. Las desvia. Le envie un whatsapp de mi telefono personal y tampcoo contesta. Se cierra lead</t>
  </si>
  <si>
    <t>-22.8</t>
  </si>
  <si>
    <t>0.9</t>
  </si>
  <si>
    <t>02/07/2026 12:02</t>
  </si>
  <si>
    <t>benedicto huenchuleo16</t>
  </si>
  <si>
    <t>+56942389063</t>
  </si>
  <si>
    <t>19/07/2026 01:09</t>
  </si>
  <si>
    <t>20/07/2026 18:10</t>
  </si>
  <si>
    <t>Se hara una llamada mañana para aclarar las dudas</t>
  </si>
  <si>
    <t>Benjamin Fuenzalida</t>
  </si>
  <si>
    <t>+56926433648</t>
  </si>
  <si>
    <t>14/07/2026 13:09</t>
  </si>
  <si>
    <t>14/07/2026 16:56</t>
  </si>
  <si>
    <t>OPEL MOKKA ELEGANCE 1.2T AT · 2023 · 36.100 km · $12.490.000</t>
  </si>
  <si>
    <t>Bernardo</t>
  </si>
  <si>
    <t>+56992222269</t>
  </si>
  <si>
    <t>29/06/2026 23:40</t>
  </si>
  <si>
    <t>01/07/2026 13:10</t>
  </si>
  <si>
    <t>cliente no esta interesado, me colgo el telefono. Se abandona lead</t>
  </si>
  <si>
    <t>Blas Antonio Riquelme González</t>
  </si>
  <si>
    <t>+56991277142</t>
  </si>
  <si>
    <t>14/07/2026 13:16</t>
  </si>
  <si>
    <t>Se llama al cliente en varias ocasiones y no contesta</t>
  </si>
  <si>
    <t>11.1</t>
  </si>
  <si>
    <t>Bomber</t>
  </si>
  <si>
    <t>+56956905579</t>
  </si>
  <si>
    <t>18/06/2026 08:20</t>
  </si>
  <si>
    <t>13/07/2026 10:46</t>
  </si>
  <si>
    <t>Se llama al cliente y me indica que esta interesando solo en el modelo que me indico anteriormente</t>
  </si>
  <si>
    <t>-25.1</t>
  </si>
  <si>
    <t>Bruno</t>
  </si>
  <si>
    <t>+56998425604</t>
  </si>
  <si>
    <t>Nuevo</t>
  </si>
  <si>
    <t>16/07/2026 01:07</t>
  </si>
  <si>
    <t/>
  </si>
  <si>
    <t xml:space="preserve">Camila Y Julian Se Aman </t>
  </si>
  <si>
    <t>+56941736236</t>
  </si>
  <si>
    <t>01/07/2026 16:30</t>
  </si>
  <si>
    <t>06/07/2026 10:50</t>
  </si>
  <si>
    <t>Se llama al cliente y me sale una contestadora donde debo dejar un mensaje para ver si el cliente esta interesado en responde mi llamada, se ha hecho seguimiento en varias oportunidades a través de mensajes y llamadas y no se obtuvo respuesta</t>
  </si>
  <si>
    <t>-4.8</t>
  </si>
  <si>
    <t>CAMILO ANDRES QUEZADA VERDUGO</t>
  </si>
  <si>
    <t>+56946252523</t>
  </si>
  <si>
    <t>Cerrado</t>
  </si>
  <si>
    <t>15/07/2026 14:02</t>
  </si>
  <si>
    <t>Vehiculo entregado. Negocio cerrado</t>
  </si>
  <si>
    <t>Camilo Lopez Orellana</t>
  </si>
  <si>
    <t>+56963037810</t>
  </si>
  <si>
    <t>20/07/2026 10:41</t>
  </si>
  <si>
    <t>cliente no interesado. Me colgo el telefono. Se abandona lead</t>
  </si>
  <si>
    <t>Carlos</t>
  </si>
  <si>
    <t>+56986848119</t>
  </si>
  <si>
    <t>30/06/2026 17:04</t>
  </si>
  <si>
    <t>01/07/2026 12:51</t>
  </si>
  <si>
    <t>llame a cliente y me comenta que no esta interesado. Que el modelo que buscar es 5008. Se abandona lead</t>
  </si>
  <si>
    <t>+56990500786</t>
  </si>
  <si>
    <t>Peugeot 2008</t>
  </si>
  <si>
    <t>11/06/2026 11:35</t>
  </si>
  <si>
    <t>01/07/2026 13:33</t>
  </si>
  <si>
    <t>llame a cliente y me indica que no esta inyteresado. se abandona lead</t>
  </si>
  <si>
    <t>-20.1</t>
  </si>
  <si>
    <t>Caro Gutiérrez 👸🏻</t>
  </si>
  <si>
    <t>+56954070481</t>
  </si>
  <si>
    <t>15/07/2026 14:55</t>
  </si>
  <si>
    <t>Carolina Aburto</t>
  </si>
  <si>
    <t>+56968370424</t>
  </si>
  <si>
    <t>14/07/2026 13:42</t>
  </si>
  <si>
    <t>20/07/2026 18:17</t>
  </si>
  <si>
    <t>Cliente se deja para seguimiento en agosto</t>
  </si>
  <si>
    <t>17.3</t>
  </si>
  <si>
    <t>-6.2</t>
  </si>
  <si>
    <t>CATA</t>
  </si>
  <si>
    <t>+56988424316</t>
  </si>
  <si>
    <t>CITROEN C3 AIRCROSS LIVE 1.2T 110HP AT AC · 2019 · 120.000 km · $7.990.000</t>
  </si>
  <si>
    <t>20/07/2026 10:37</t>
  </si>
  <si>
    <t>clienta contactada. Indica que ya no esta interesada. Que estaba viendo pero que yqa tiene reservado un auto en otra automotora. Se abandona lead</t>
  </si>
  <si>
    <t>Caterin Alejandra Ramírez Morales</t>
  </si>
  <si>
    <t>+56950307358</t>
  </si>
  <si>
    <t>FORD ECOSPORT 1.5 SE 4X2 MT 5P · 2022 · 75.000 km · $11.290.000</t>
  </si>
  <si>
    <t>08/07/2026 17:21</t>
  </si>
  <si>
    <t>clienta indica que fue un error, No esta buscando auto. Se abandona lead</t>
  </si>
  <si>
    <t>Cesar Lopez Carcamo</t>
  </si>
  <si>
    <t>+56961365759</t>
  </si>
  <si>
    <t>12/07/2026 13:49</t>
  </si>
  <si>
    <t>12/07/2026 13:12</t>
  </si>
  <si>
    <t>CESAR LUIS SOJO MARIATEGUI</t>
  </si>
  <si>
    <t>+56997161676</t>
  </si>
  <si>
    <t>Otro</t>
  </si>
  <si>
    <t>10/07/2026 12:54</t>
  </si>
  <si>
    <t>13/07/2026 14:49</t>
  </si>
  <si>
    <t>vehiculo entregado. Negocio cerrado</t>
  </si>
  <si>
    <t>-3.1</t>
  </si>
  <si>
    <t>Hola</t>
  </si>
  <si>
    <t>Hola! Estoy interesado en tu auto CHERY ARRIZO 3 año 2018 publicado en DilyAutos</t>
  </si>
  <si>
    <t>Claudio</t>
  </si>
  <si>
    <t>+56988081090</t>
  </si>
  <si>
    <t>01/07/2026 09:43</t>
  </si>
  <si>
    <t>01/07/2026 12:16</t>
  </si>
  <si>
    <t>cliente no contesta llamadas. se insistira mas tarde</t>
  </si>
  <si>
    <t>Claudio Alarcón</t>
  </si>
  <si>
    <t>+56998172021</t>
  </si>
  <si>
    <t>CHEVROLET TRACKER 1.2T LTZ AUT · 2022 · 33.000 km · $11.290.000</t>
  </si>
  <si>
    <t>06/07/2026 16:27</t>
  </si>
  <si>
    <t>06/07/2026 16:26</t>
  </si>
  <si>
    <t>Cliente no interesado en comprar. Se abandona lead</t>
  </si>
  <si>
    <t>Claudio Antonio Aguilera Alfaro</t>
  </si>
  <si>
    <t>+56961591963</t>
  </si>
  <si>
    <t>08/07/2026 10:26</t>
  </si>
  <si>
    <t>se cierra lead.</t>
  </si>
  <si>
    <t>Claudio Javier Calderón Beltran</t>
  </si>
  <si>
    <t>+56989408118</t>
  </si>
  <si>
    <t>06/07/2026 10:04</t>
  </si>
  <si>
    <t>Cliente indica que solamente estaba mirando</t>
  </si>
  <si>
    <t>Clauditoo!</t>
  </si>
  <si>
    <t>+56945638758</t>
  </si>
  <si>
    <t>15/07/2026 21:02</t>
  </si>
  <si>
    <t>20/07/2026 13:38</t>
  </si>
  <si>
    <t>Se llama al cliente en varias oportunidades y el numero no me sale disponible en ninguno de los intentos</t>
  </si>
  <si>
    <t>-4.7</t>
  </si>
  <si>
    <t>CONSTANZA</t>
  </si>
  <si>
    <t>+56949717239</t>
  </si>
  <si>
    <t>08/07/2026 10:25</t>
  </si>
  <si>
    <t>Cliente contactado. Posible visita el fin de semana</t>
  </si>
  <si>
    <t>Constructora  El Arrayan🏘️</t>
  </si>
  <si>
    <t>+56944308628</t>
  </si>
  <si>
    <t>14/06/2026 21:31</t>
  </si>
  <si>
    <t>01/07/2026 12:55</t>
  </si>
  <si>
    <t>Cliente no pudo coordinar con al persona que vendría a ver la camioneta y desistió de la compra</t>
  </si>
  <si>
    <t>-16.6</t>
  </si>
  <si>
    <t>Consuelo del Carmen Gálvez Flores</t>
  </si>
  <si>
    <t>+56956473376</t>
  </si>
  <si>
    <t>PEUGEOT 3008 P64 GT HYBRID 1.2 AT · 2025 · 8.500 km · $27.990.000</t>
  </si>
  <si>
    <t>04/07/2026 10:33</t>
  </si>
  <si>
    <t>Clienta contesto el telefono y al saludarla me colgo el telefono. Se cierra lead</t>
  </si>
  <si>
    <t>Cote larrain</t>
  </si>
  <si>
    <t>+56966746058</t>
  </si>
  <si>
    <t>Hola, necesito saber más sobre:</t>
  </si>
  <si>
    <t>16/07/2026 12:35</t>
  </si>
  <si>
    <t>18/07/2026 11:05</t>
  </si>
  <si>
    <t>Se llama al cliente e indica que no esta interesado, que fue un error</t>
  </si>
  <si>
    <t>-1.9</t>
  </si>
  <si>
    <t>crianca</t>
  </si>
  <si>
    <t>+569815446936</t>
  </si>
  <si>
    <t>17/07/2026 12:17</t>
  </si>
  <si>
    <t>Cliente me indica que ya no esta interesado</t>
  </si>
  <si>
    <t>cristian</t>
  </si>
  <si>
    <t>+56938914921</t>
  </si>
  <si>
    <t>15/06/2026 01:13</t>
  </si>
  <si>
    <t>02/07/2026 15:41</t>
  </si>
  <si>
    <t>Cristian Daniel Henry</t>
  </si>
  <si>
    <t>+56956698051</t>
  </si>
  <si>
    <t>06/07/2026 11:32</t>
  </si>
  <si>
    <t>05/07/2026 21:35</t>
  </si>
  <si>
    <t>0.6</t>
  </si>
  <si>
    <t>9.1</t>
  </si>
  <si>
    <t>Cristobal</t>
  </si>
  <si>
    <t>+56942430309</t>
  </si>
  <si>
    <t>19-06-2026</t>
  </si>
  <si>
    <t>19/06/2026 19:45</t>
  </si>
  <si>
    <t>06/07/2026 17:48</t>
  </si>
  <si>
    <t>Cliente ya no contesto mas</t>
  </si>
  <si>
    <t>-16.9</t>
  </si>
  <si>
    <t>Cristobal San Martin</t>
  </si>
  <si>
    <t>+56966355364</t>
  </si>
  <si>
    <t>14/07/2026 11:35</t>
  </si>
  <si>
    <t>pregunta por la silverado que ya se encuentra vendida</t>
  </si>
  <si>
    <t>Daniel Barrales 🍀</t>
  </si>
  <si>
    <t>+56932029495</t>
  </si>
  <si>
    <t>16/06/2026 10:50</t>
  </si>
  <si>
    <t>daniela pizarro</t>
  </si>
  <si>
    <t>+56958089477</t>
  </si>
  <si>
    <t>09/07/2026 16:30</t>
  </si>
  <si>
    <t>volvi a llamar a clienta pero no contesta. le envie whatsapp</t>
  </si>
  <si>
    <t>Danielita🐦‍🔥🪷</t>
  </si>
  <si>
    <t>+56993400467</t>
  </si>
  <si>
    <t>17/07/2026 10:25</t>
  </si>
  <si>
    <t>Danival</t>
  </si>
  <si>
    <t>+56973516303</t>
  </si>
  <si>
    <t>29/06/2026 11:23</t>
  </si>
  <si>
    <t>01/07/2026 13:05</t>
  </si>
  <si>
    <t>clienta vino a sucursal, estaba interesada en tiggo 2 pero ya se vendio. Tiene auto en parfte de pago, le tasamos su auto y le ofreci otro vehiculo, pero indica que no es lo que busca. Se dara seguimiento para que cuando llegue algun vehiculo de su interes, la contacte</t>
  </si>
  <si>
    <t>-2.1</t>
  </si>
  <si>
    <t>Diego Cabrera</t>
  </si>
  <si>
    <t>+56958922418</t>
  </si>
  <si>
    <t>Hola! Estoy interesado en tu auto RENAULT MEGANE año 2016 publicado en DilyAutos</t>
  </si>
  <si>
    <t>15/07/2026 10:38</t>
  </si>
  <si>
    <t>negocio cerrado, vehiculo entregado</t>
  </si>
  <si>
    <t>dondechristian1973</t>
  </si>
  <si>
    <t>+56941657923</t>
  </si>
  <si>
    <t>27/06/2026 00:16</t>
  </si>
  <si>
    <t>01/07/2026 13:11</t>
  </si>
  <si>
    <t>volvi a llamar a cliente y no contesta. Se insistira mañana</t>
  </si>
  <si>
    <t>-4.5</t>
  </si>
  <si>
    <t>Ebduin Vallenilla</t>
  </si>
  <si>
    <t>+56935556430</t>
  </si>
  <si>
    <t>04/07/2026 11:51</t>
  </si>
  <si>
    <t>04/07/2026 11:21</t>
  </si>
  <si>
    <t>Edson</t>
  </si>
  <si>
    <t>+56984632320</t>
  </si>
  <si>
    <t>hola</t>
  </si>
  <si>
    <t>16/07/2026 12:38</t>
  </si>
  <si>
    <t>17/07/2026 10:17</t>
  </si>
  <si>
    <t>en espera de que envie fotos de su vehiculo en parte de pago y qude confirme visita a sucursal</t>
  </si>
  <si>
    <t>Eduardo Birke R</t>
  </si>
  <si>
    <t>+56982942901</t>
  </si>
  <si>
    <t>12/07/2026 22:13</t>
  </si>
  <si>
    <t>12/07/2026 22:15</t>
  </si>
  <si>
    <t>Eduardo Cabrera</t>
  </si>
  <si>
    <t>+56986077172</t>
  </si>
  <si>
    <t>12/07/2026 13:03</t>
  </si>
  <si>
    <t>12/07/2026 13:04</t>
  </si>
  <si>
    <t>Clientr contactado</t>
  </si>
  <si>
    <t>06/07/2026 11:39</t>
  </si>
  <si>
    <t>se abandona lead</t>
  </si>
  <si>
    <t>1.8</t>
  </si>
  <si>
    <t>Edwin 😄</t>
  </si>
  <si>
    <t>+56977838073</t>
  </si>
  <si>
    <t>01/07/2026 00:09</t>
  </si>
  <si>
    <t>17/07/2026 12:01</t>
  </si>
  <si>
    <t>Se llama al cliente para indicarle que la unidad fue vendida y se ofrecen las otras alternativas que tenemos aca en la sucursal, pero no mostro interes en ninguna</t>
  </si>
  <si>
    <t>16.1</t>
  </si>
  <si>
    <t>4.1</t>
  </si>
  <si>
    <t>Ernesto Ramirez Reyes</t>
  </si>
  <si>
    <t>+56979228013</t>
  </si>
  <si>
    <t>01/07/2026 10:05</t>
  </si>
  <si>
    <t>01/07/2026 10:29</t>
  </si>
  <si>
    <t>cliente contesto, me dijo que no le interesa y me colgo</t>
  </si>
  <si>
    <t>2.2</t>
  </si>
  <si>
    <t>Esteban Alfred Jimenez</t>
  </si>
  <si>
    <t>+56972281417</t>
  </si>
  <si>
    <t>04/07/2026 13:01</t>
  </si>
  <si>
    <t>contacte al cliente. Indica que primero va a vendr su auto, lo quiere vender particular. y busca mas que nada un honda civic. va a considerar el baleno. Se dara seguimiento</t>
  </si>
  <si>
    <t>Esteban Orrego</t>
  </si>
  <si>
    <t>+56944107558</t>
  </si>
  <si>
    <t>28/06/2026 23:47</t>
  </si>
  <si>
    <t>01/07/2026 17:38</t>
  </si>
  <si>
    <t>Se llama y la linea sigue apareciendo ocupada, se actualizara estatus</t>
  </si>
  <si>
    <t>-2.7</t>
  </si>
  <si>
    <t>Esteban Villarroel</t>
  </si>
  <si>
    <t>+56977084475</t>
  </si>
  <si>
    <t>03/07/2026 13:43</t>
  </si>
  <si>
    <t>06/07/2026 10:47</t>
  </si>
  <si>
    <t>Cliente compra el sábado</t>
  </si>
  <si>
    <t>2.9</t>
  </si>
  <si>
    <t>Estela Ignacia Peñaylillo</t>
  </si>
  <si>
    <t>+56979687959</t>
  </si>
  <si>
    <t>18/07/2026 10:55</t>
  </si>
  <si>
    <t>intente llamar nuevamenre y el numero no se encuentra disponible</t>
  </si>
  <si>
    <t>3.0</t>
  </si>
  <si>
    <t>Felipe Gutiérrez</t>
  </si>
  <si>
    <t>+56992496908</t>
  </si>
  <si>
    <t>01/07/2026 10:23</t>
  </si>
  <si>
    <t>06/07/2026 13:42</t>
  </si>
  <si>
    <t>Se llama al cliente y se le comenta el precio mínimo de venta, e indica que no le sirve</t>
  </si>
  <si>
    <t>-5.1</t>
  </si>
  <si>
    <t>Fernanda Lyon Ampuero</t>
  </si>
  <si>
    <t>+56985577806</t>
  </si>
  <si>
    <t>01/07/2026 14:04</t>
  </si>
  <si>
    <t>07/07/2026 12:58</t>
  </si>
  <si>
    <t>Cliente no respondió mas llamadas ni mensajes</t>
  </si>
  <si>
    <t>-6.0</t>
  </si>
  <si>
    <t>Florencia</t>
  </si>
  <si>
    <t>+56973725543</t>
  </si>
  <si>
    <t>Hola, necesito saber más sobre el rav4</t>
  </si>
  <si>
    <t>10/07/2026 20:15</t>
  </si>
  <si>
    <t>11/07/2026 11:08</t>
  </si>
  <si>
    <t>cliente me dijo que la llame en una hr mas</t>
  </si>
  <si>
    <t>-0.6</t>
  </si>
  <si>
    <t>Francisco Castillo O.</t>
  </si>
  <si>
    <t>+56989964630</t>
  </si>
  <si>
    <t>¡Hola! 👋 Quiero más información de este Peugeot 3008?</t>
  </si>
  <si>
    <t>30/06/2026 01:03</t>
  </si>
  <si>
    <t>11/07/2026 10:44</t>
  </si>
  <si>
    <t>Se actualiza estatus</t>
  </si>
  <si>
    <t>-11.4</t>
  </si>
  <si>
    <t>FRANKLIN IGOR ALVEAR NORAMBUENA</t>
  </si>
  <si>
    <t>+56952268755</t>
  </si>
  <si>
    <t>18/06/2026 18:23</t>
  </si>
  <si>
    <t>13/07/2026 10:59</t>
  </si>
  <si>
    <t>Se llama al cliente en reiteradas oportunidades y siempre me envia a buzon de voz</t>
  </si>
  <si>
    <t>-24.7</t>
  </si>
  <si>
    <t>freddy</t>
  </si>
  <si>
    <t>+56946490327</t>
  </si>
  <si>
    <t>Hola, tengo algunas preguntas sobre Chevrolet Tracker 1.2t Ltz Aut. https://auto</t>
  </si>
  <si>
    <t>18/06/2026 09:43</t>
  </si>
  <si>
    <t>01/07/2026 13:08</t>
  </si>
  <si>
    <t>cliente vino a sucursal pero no esta interesado en comprar por el momento. Se contactara nuevamente el 20 de julio</t>
  </si>
  <si>
    <t>-13.1</t>
  </si>
  <si>
    <t>Freddy</t>
  </si>
  <si>
    <t>+56983433504</t>
  </si>
  <si>
    <t>18/06/2026 12:17</t>
  </si>
  <si>
    <t>18/07/2026 12:12</t>
  </si>
  <si>
    <t>Se llama al cliente y me indica que no esta interesado, que lo esta viendo por su cuenta</t>
  </si>
  <si>
    <t>-30.0</t>
  </si>
  <si>
    <t>Hola RMG Autos, mi consulta es por....</t>
  </si>
  <si>
    <t>Galvez Yenifer</t>
  </si>
  <si>
    <t>+56941478865</t>
  </si>
  <si>
    <t>17/07/2026 11:07</t>
  </si>
  <si>
    <t>cliente no contesta,. Se insistira mas tarde</t>
  </si>
  <si>
    <t>Geraldine Duce González</t>
  </si>
  <si>
    <t>+56965250285</t>
  </si>
  <si>
    <t>06/07/2026 15:01</t>
  </si>
  <si>
    <t>Llame y me indica que el numero que marque no existe</t>
  </si>
  <si>
    <t>11.0</t>
  </si>
  <si>
    <t>Gianni</t>
  </si>
  <si>
    <t>+56957008572</t>
  </si>
  <si>
    <t>Hola, tengo algunas preguntas sobre Ram 700 Dcab Slt 1.4. https://auto.mercadoli</t>
  </si>
  <si>
    <t>14/07/2026 13:52</t>
  </si>
  <si>
    <t>17/07/2026 15:14</t>
  </si>
  <si>
    <t>El cliente me ha desviado todas las llamadas y no responde los mensajes</t>
  </si>
  <si>
    <t>GONZALO VERA PEDRAZA</t>
  </si>
  <si>
    <t>+56963036058</t>
  </si>
  <si>
    <t>02/07/2026 14:53</t>
  </si>
  <si>
    <t>02/07/2026 12:55</t>
  </si>
  <si>
    <t>🚗 Datos retoma: exceed TXL 2024 | Patente: TSPL-78 | Km: 41000 | Versión: ? | Color: gris</t>
  </si>
  <si>
    <t>Grald Reyes</t>
  </si>
  <si>
    <t>+56957209500</t>
  </si>
  <si>
    <t>08/07/2026 20:01</t>
  </si>
  <si>
    <t>20/07/2026 12:37</t>
  </si>
  <si>
    <t>clienta no volvio a contestar ni mensajes ni llamadas. Se abandona lead</t>
  </si>
  <si>
    <t>11.8</t>
  </si>
  <si>
    <t>-11.7</t>
  </si>
  <si>
    <t>Gregorio Eduardo Rosas Torres</t>
  </si>
  <si>
    <t>+56962913221</t>
  </si>
  <si>
    <t>28/06/2026 22:57</t>
  </si>
  <si>
    <t>02/07/2026 16:54</t>
  </si>
  <si>
    <t>Cliente no califica para crédito</t>
  </si>
  <si>
    <t>-3.7</t>
  </si>
  <si>
    <t>GSK11</t>
  </si>
  <si>
    <t>+56935747000</t>
  </si>
  <si>
    <t>18/06/2026 09:02</t>
  </si>
  <si>
    <t>02/07/2026 16:57</t>
  </si>
  <si>
    <t>Se llama al cliente en varias oportunidades y no contesta, se cambiara estatus</t>
  </si>
  <si>
    <t>-14.3</t>
  </si>
  <si>
    <t>Guadalupe Santana</t>
  </si>
  <si>
    <t>+56993254877</t>
  </si>
  <si>
    <t>30/06/2026 11:13</t>
  </si>
  <si>
    <t>02/07/2026 15:45</t>
  </si>
  <si>
    <t>Cliente indica que estamos muy lejos y prefiere algo mas cerca</t>
  </si>
  <si>
    <t>-2.2</t>
  </si>
  <si>
    <t>3.2</t>
  </si>
  <si>
    <t>Guillermo Cubillos Poblete</t>
  </si>
  <si>
    <t>+56992484968</t>
  </si>
  <si>
    <t>20/07/2026 10:40</t>
  </si>
  <si>
    <t>cliente no esta interesado, Solo estaba mirando. Se abandona lead</t>
  </si>
  <si>
    <t>-2.8</t>
  </si>
  <si>
    <t>Hector</t>
  </si>
  <si>
    <t>+56964444879</t>
  </si>
  <si>
    <t>15/06/2026 12:13</t>
  </si>
  <si>
    <t>-21.0</t>
  </si>
  <si>
    <t>-11.0</t>
  </si>
  <si>
    <t>-8.7</t>
  </si>
  <si>
    <t>Hugo Eduardo Hermosilla Marinao</t>
  </si>
  <si>
    <t>+56936738042</t>
  </si>
  <si>
    <t>06/07/2026 15:00</t>
  </si>
  <si>
    <t>Llamo al cliente y me indica que el numero que marque no existe</t>
  </si>
  <si>
    <t>INGRID HERNANDEZ</t>
  </si>
  <si>
    <t>+56978302452</t>
  </si>
  <si>
    <t>14/07/2026 11:17</t>
  </si>
  <si>
    <t>14/07/2026 10:58</t>
  </si>
  <si>
    <t>Int_Mrls</t>
  </si>
  <si>
    <t>+56975990992</t>
  </si>
  <si>
    <t>16/07/2026 09:00</t>
  </si>
  <si>
    <t>20/07/2026 17:36</t>
  </si>
  <si>
    <t>Dany que paso con este cliente?</t>
  </si>
  <si>
    <t>-4.4</t>
  </si>
  <si>
    <t>IRENE ARENAS</t>
  </si>
  <si>
    <t>+56992254430</t>
  </si>
  <si>
    <t>16/07/2026 23:12</t>
  </si>
  <si>
    <t>18/07/2026 11:10</t>
  </si>
  <si>
    <t>Se contacta a la cliente para terminar la tasación y ver la posibilidad de renovación de su auto</t>
  </si>
  <si>
    <t>Ivan Acosta Valencia</t>
  </si>
  <si>
    <t>+56973742284</t>
  </si>
  <si>
    <t>18/06/2026 19:05</t>
  </si>
  <si>
    <t>13/07/2026 10:45</t>
  </si>
  <si>
    <t>Cliente indica que la venderá de manera particular porque le saca mayor provecho</t>
  </si>
  <si>
    <t>Iván Andrés Espinoza Espinoza</t>
  </si>
  <si>
    <t>+56966763281</t>
  </si>
  <si>
    <t>MITSUBISHI MONTERO MONTERO SPORT 2.5 AT · 2014 · 187.000 km · $11.590.000 | Hola, tengo algunas preguntas sobre Mitsubishi Montero Sport G2 2.5 At 4x4. http</t>
  </si>
  <si>
    <t>03/07/2026 09:15</t>
  </si>
  <si>
    <t>03/07/2026 13:40</t>
  </si>
  <si>
    <t>cliente busca mismo modelo pero 4x4. se abanodna lead</t>
  </si>
  <si>
    <t>Jaime</t>
  </si>
  <si>
    <t>+56952382150</t>
  </si>
  <si>
    <t>01/07/2026 12:47</t>
  </si>
  <si>
    <t>01/07/2026 12:52</t>
  </si>
  <si>
    <t>Cliente contactado, pero pensó que la silverado era petrolera y no le sirve bencinera, se le ofreció la Landtrek pero indico que es muy pequeña</t>
  </si>
  <si>
    <t>Javiera Garces</t>
  </si>
  <si>
    <t>+56988382734</t>
  </si>
  <si>
    <t>14/07/2026 17:22</t>
  </si>
  <si>
    <t>Cliente ya compro</t>
  </si>
  <si>
    <t>11.3</t>
  </si>
  <si>
    <t>Javiera Garcés Mora</t>
  </si>
  <si>
    <t>+56944083599</t>
  </si>
  <si>
    <t>09/07/2026 16:25</t>
  </si>
  <si>
    <t>cliente atendido por carlos</t>
  </si>
  <si>
    <t>JC</t>
  </si>
  <si>
    <t>+56982142616</t>
  </si>
  <si>
    <t>30/06/2026 10:42</t>
  </si>
  <si>
    <t>01/07/2026 13:23</t>
  </si>
  <si>
    <t>llame a cliente y solo tiene 1 millon y medio de pie. No quiere ver un auto de menos valor. Indica que esperara tres meses mas para juntar mas pie</t>
  </si>
  <si>
    <t>Jenny Diaz 🌺</t>
  </si>
  <si>
    <t>+56996892440</t>
  </si>
  <si>
    <t>Hola, tengo algunas preguntas sobre Ford Ecosport 1.5 Se 4x2 Mt 5p. https://auto</t>
  </si>
  <si>
    <t>12/06/2026 18:06</t>
  </si>
  <si>
    <t>12/06/2026 17:55</t>
  </si>
  <si>
    <t>Clienta sale fuera de santiago y vuelve en 2 semanas. Se deja en estado ¨seguimiento¨</t>
  </si>
  <si>
    <t>Jerfrin Lozano</t>
  </si>
  <si>
    <t>+56977888739</t>
  </si>
  <si>
    <t>14/07/2026 11:44</t>
  </si>
  <si>
    <t>17/07/2026 15:02</t>
  </si>
  <si>
    <t>Cliente rechazado, solo me pasa por unidad con el 70% del valor del auto, pero no cuenta con esa cantidad</t>
  </si>
  <si>
    <t>JNG servicios spa</t>
  </si>
  <si>
    <t>+56966491477</t>
  </si>
  <si>
    <t>OPEL COMBO 1.5 TD MT6 E6 AC · 2024 · 59.500 km · $11.990.000</t>
  </si>
  <si>
    <t>Reservado</t>
  </si>
  <si>
    <t>10/07/2026 11:27</t>
  </si>
  <si>
    <t>14/07/2026 11:18</t>
  </si>
  <si>
    <t>RESERVA UNIDAD</t>
  </si>
  <si>
    <t>Joaquin Ignacio Mancilla Cortes</t>
  </si>
  <si>
    <t>+56982940915</t>
  </si>
  <si>
    <t>17/07/2026 14:21</t>
  </si>
  <si>
    <t>Contactar al cliente para coordinar un agendamiento</t>
  </si>
  <si>
    <t>Joel</t>
  </si>
  <si>
    <t>+56995710043</t>
  </si>
  <si>
    <t>11/07/2026 21:34</t>
  </si>
  <si>
    <t>13/07/2026 10:39</t>
  </si>
  <si>
    <t>cliente indica que solo estaba mirando. solo dio click, No esta interesado en comprar. Se cierra lead</t>
  </si>
  <si>
    <t>John Rosendo Moreno Cantillana</t>
  </si>
  <si>
    <t>+56942329601</t>
  </si>
  <si>
    <t>RENAULT MEGANE HB DYNAMIQUE 1.6 · 2016 · 126.000 km · $5.990.000</t>
  </si>
  <si>
    <t>18/07/2026 10:50</t>
  </si>
  <si>
    <t>vehiculo vendido. Cliente contesto y le ofreci otras opciones pero no esta interesado en comprar hasta fin de año</t>
  </si>
  <si>
    <t>5.1</t>
  </si>
  <si>
    <t>Johnny Enrique Pizarro Alarcón</t>
  </si>
  <si>
    <t>+56959936076</t>
  </si>
  <si>
    <t>09/07/2026 12:23</t>
  </si>
  <si>
    <t>Se llama al cliente y me indica que comprara uno nuevo</t>
  </si>
  <si>
    <t>Johny</t>
  </si>
  <si>
    <t>+56972070992</t>
  </si>
  <si>
    <t>09/07/2026 13:51</t>
  </si>
  <si>
    <t>09/07/2026 12:36</t>
  </si>
  <si>
    <t>Se llama al cliente y desvía las llamadas</t>
  </si>
  <si>
    <t>Jonathan Tahormina</t>
  </si>
  <si>
    <t>+56934265501</t>
  </si>
  <si>
    <t>15/07/2026 21:07</t>
  </si>
  <si>
    <t>Jorge Andres Flores</t>
  </si>
  <si>
    <t>+56977525920</t>
  </si>
  <si>
    <t>09/07/2026 17:25</t>
  </si>
  <si>
    <t>le envie mensajes y llame a cliente en reiteradas ocasiones y no contesto. Se cierra lead</t>
  </si>
  <si>
    <t>6.3</t>
  </si>
  <si>
    <t>Jorge Antonio Mansilla Ulloa</t>
  </si>
  <si>
    <t>+56996806111</t>
  </si>
  <si>
    <t>18/07/2026 10:41</t>
  </si>
  <si>
    <t>vehiculo vendido, ademas cliente nunca contesto. Se cierra lead</t>
  </si>
  <si>
    <t>Jorge Jairo Antivilo 😉</t>
  </si>
  <si>
    <t>+56976991145</t>
  </si>
  <si>
    <t>27/06/2026 00:19</t>
  </si>
  <si>
    <t>01/07/2026 15:58</t>
  </si>
  <si>
    <t>llame a cliente y no contesta. Se envia plantilla de saludo</t>
  </si>
  <si>
    <t>Jorge Luis Cáceres Vargas</t>
  </si>
  <si>
    <t>+56997795554</t>
  </si>
  <si>
    <t>13/07/2026 18:16</t>
  </si>
  <si>
    <t>15/07/2026 11:31</t>
  </si>
  <si>
    <t>llamar a cliente el sabado 18 para dar seguimiento</t>
  </si>
  <si>
    <t>Agendado</t>
  </si>
  <si>
    <t>José Luis González</t>
  </si>
  <si>
    <t>+56945250676</t>
  </si>
  <si>
    <t>cliente desvia la llamada y no contesta los mensajes. Se cierra lead</t>
  </si>
  <si>
    <t>1.3</t>
  </si>
  <si>
    <t>Jose Luis Tapia Tapia</t>
  </si>
  <si>
    <t>+56961636444</t>
  </si>
  <si>
    <t>18/07/2026 11:06</t>
  </si>
  <si>
    <t>cliente contesto, indica que no esta interesado, que ni siquiera esta comprando auto, solo le aparecio una foto. Se abandona lead</t>
  </si>
  <si>
    <t>JOSE MIGUEL ACOSTA PIZARRO</t>
  </si>
  <si>
    <t>+56983656026</t>
  </si>
  <si>
    <t>11/07/2026 22:23</t>
  </si>
  <si>
    <t>17/07/2026 14:02</t>
  </si>
  <si>
    <t>Se llama al cliente y no contesta, pero se le hace seguimiento para indicarle la posibilidad de financiamiento</t>
  </si>
  <si>
    <t>-5.7</t>
  </si>
  <si>
    <t>Jose Quintanilla Leiva</t>
  </si>
  <si>
    <t>+56945322213</t>
  </si>
  <si>
    <t>20/07/2026 14:07</t>
  </si>
  <si>
    <t>Cliente indica que solo andaba mirando pero no esta interesado realmente en comprar ahora</t>
  </si>
  <si>
    <t>Juan</t>
  </si>
  <si>
    <t>+56954196894</t>
  </si>
  <si>
    <t>2 canales: Meta Ads, WhatsApp</t>
  </si>
  <si>
    <t>Tu oportunidad de tener una Chevrolet Silverado o un Peugeot 3008 está aquí | [Foto Recibida]</t>
  </si>
  <si>
    <t>03/07/2026 10:12</t>
  </si>
  <si>
    <t>14/07/2026 09:39</t>
  </si>
  <si>
    <t>QWEDF</t>
  </si>
  <si>
    <t>+56962362436</t>
  </si>
  <si>
    <t>Tu oportunidad de tener una Chevrolet Silverado o un Peugeot 3008 está aquí</t>
  </si>
  <si>
    <t>01/07/2026 21:38</t>
  </si>
  <si>
    <t>06/07/2026 11:00</t>
  </si>
  <si>
    <t>Se llama al cliente en varias oportunidades y no logro hacer contacto con el, se le enviaron las plantillas y tampoco las contesto</t>
  </si>
  <si>
    <t>-4.6</t>
  </si>
  <si>
    <t>Juan Astudillo</t>
  </si>
  <si>
    <t>+56944381032</t>
  </si>
  <si>
    <t>18/07/2026 11:34</t>
  </si>
  <si>
    <t>18/07/2026 10:57</t>
  </si>
  <si>
    <t>Cliente indica que vendió su auto esta semana y recién ayer en la noche empezó a mirar opciones, se le dio la explicación del auto vía telefónica y le intereso, me hará un par de preguntas por whatsapp y agendaremos visita dentro de la semana ya que trabaja cerca de acá</t>
  </si>
  <si>
    <t>Juan Carlos</t>
  </si>
  <si>
    <t>+56979976773</t>
  </si>
  <si>
    <t>12/07/2026 20:01</t>
  </si>
  <si>
    <t>17/07/2026 10:23</t>
  </si>
  <si>
    <t>Cliente indica que ha estado complicado de salud y esta esperando a salir de eso para poder venir a Santiago, me indico que tomaremos las conversaciones una vez salga. Le hare seguimiento la próxima semana</t>
  </si>
  <si>
    <t>JUAN CARLOS ALFARO</t>
  </si>
  <si>
    <t>+56944597751</t>
  </si>
  <si>
    <t>OPEL COMBO 1.5 TD MT6 E6 AC · 2024 · 51.000 km · $11.990.000</t>
  </si>
  <si>
    <t>20/07/2026 13:31</t>
  </si>
  <si>
    <t>20/07/2026 18:18</t>
  </si>
  <si>
    <t>Cliente busca una combo facturable</t>
  </si>
  <si>
    <t>Juan Cifuentes</t>
  </si>
  <si>
    <t>+56982541629</t>
  </si>
  <si>
    <t>29/06/2026 13:41</t>
  </si>
  <si>
    <t>06/07/2026 17:49</t>
  </si>
  <si>
    <t>Cliente no contesta las llamadas</t>
  </si>
  <si>
    <t>-7.2</t>
  </si>
  <si>
    <t>NISSAN KICKS 1.6 SENSE 4X2 MT 5P · 2023 · 65.000 km · $12.590.000</t>
  </si>
  <si>
    <t>Juan Madariaga</t>
  </si>
  <si>
    <t>+56983284680</t>
  </si>
  <si>
    <t>11/07/2026 10:16</t>
  </si>
  <si>
    <t>El número no existe, se verifico si es de esos números que solo tiene whatsapp y tampoco aparece activo</t>
  </si>
  <si>
    <t>Juan Manuel Riquelme</t>
  </si>
  <si>
    <t>+56989760695</t>
  </si>
  <si>
    <t>08/07/2026 11:30</t>
  </si>
  <si>
    <t>Actualizando estado</t>
  </si>
  <si>
    <t>Julio Horacio Osorio Cepeda</t>
  </si>
  <si>
    <t>+56995425611</t>
  </si>
  <si>
    <t>25/06/2026 09:56</t>
  </si>
  <si>
    <t>01/07/2026 13:52</t>
  </si>
  <si>
    <t>cliente vino a sucursal. Le encontro una fuga a la camioneta. Indico que no cerraria el negocio. se abandona lead</t>
  </si>
  <si>
    <t>Karen</t>
  </si>
  <si>
    <t>+56968288484</t>
  </si>
  <si>
    <t>07/07/2026 12:42</t>
  </si>
  <si>
    <t>17/07/2026 12:02</t>
  </si>
  <si>
    <t>Se llama a la cliente y no contesta, se hizo seguimiento dejando días de diferencia para evitar cansar a la cliente pero no se ha obtenido respuesta</t>
  </si>
  <si>
    <t>-10.0</t>
  </si>
  <si>
    <t>Hola, tengo algunas preguntas sobre Opel Mokka Elegance 1.2t At. https://auto.me</t>
  </si>
  <si>
    <t>Katherine Leyton</t>
  </si>
  <si>
    <t>+56938717230</t>
  </si>
  <si>
    <t>20/07/2026 18:15</t>
  </si>
  <si>
    <t>Cliente no contesta, mañana se hará seguimiento</t>
  </si>
  <si>
    <t>0.4</t>
  </si>
  <si>
    <t>Lorena’Andrea 🦋</t>
  </si>
  <si>
    <t>+56976590110</t>
  </si>
  <si>
    <t>25/06/2026 18:25</t>
  </si>
  <si>
    <t>01/07/2026 13:38</t>
  </si>
  <si>
    <t>clienta vino a ver el vehiculo, me pregunto informacion del auto e indica que vehiculo presenta fuga y que tiene muchos dueños.</t>
  </si>
  <si>
    <t>-5.8</t>
  </si>
  <si>
    <t>Luchín Salvador</t>
  </si>
  <si>
    <t>+56990219378</t>
  </si>
  <si>
    <t>06/07/2026 10:10</t>
  </si>
  <si>
    <t>06/07/2026 10:25</t>
  </si>
  <si>
    <t>hable con cliente y tiene una moto para vender. Indica que le interesa la camioneta pero hasta que venda la moto podria comprarla. Se dara seguimiento</t>
  </si>
  <si>
    <t>Luis Esteban Jarpa Pincheira</t>
  </si>
  <si>
    <t>+56935669463</t>
  </si>
  <si>
    <t>17/07/2026 14:11</t>
  </si>
  <si>
    <t>Se llama al ciente para indicarle que el auto esta vendido y ofrecerle el arrizo o el focus pero no le gusto ninguna de las opciones</t>
  </si>
  <si>
    <t>4.2</t>
  </si>
  <si>
    <t>Luis Felipe Sazo Gonzalez</t>
  </si>
  <si>
    <t>+56934612184</t>
  </si>
  <si>
    <t>08/07/2026 17:12</t>
  </si>
  <si>
    <t>10/07/2026 12:24</t>
  </si>
  <si>
    <t>Logre contactar al cliente y me indica que se inclino por otra camioneta, ya compro</t>
  </si>
  <si>
    <t>luis guerra</t>
  </si>
  <si>
    <t>+56981343652</t>
  </si>
  <si>
    <t>20/07/2026 10:35</t>
  </si>
  <si>
    <t>cliente contactado. Indica que ya no esta interesado. Se abandona lead</t>
  </si>
  <si>
    <t>Luis Marcelo salazar</t>
  </si>
  <si>
    <t>+56956923611</t>
  </si>
  <si>
    <t>08/07/2026 11:06</t>
  </si>
  <si>
    <t>vehiculo se vendio. Le informe a cliente e indica que no esta interesado en ningun otro modelo. Se abandona lead</t>
  </si>
  <si>
    <t>Luis Orlando Liguenpi Lincopí</t>
  </si>
  <si>
    <t>+56945653333</t>
  </si>
  <si>
    <t>02/07/2026 10:50</t>
  </si>
  <si>
    <t>Se llama al cliente y me indica que estaba mirando solamente, que no esta interesado</t>
  </si>
  <si>
    <t>Luis Parra</t>
  </si>
  <si>
    <t>+56978076602</t>
  </si>
  <si>
    <t>16/07/2026 22:56</t>
  </si>
  <si>
    <t>17/07/2026 09:49</t>
  </si>
  <si>
    <t>Vehículo fuera de políticas actuales de compra</t>
  </si>
  <si>
    <t>Luisa Campos</t>
  </si>
  <si>
    <t>+56956072810</t>
  </si>
  <si>
    <t>10/07/2026 13:12</t>
  </si>
  <si>
    <t>10/07/2026 16:18</t>
  </si>
  <si>
    <t>La clienta estaba llamando para pedirle a Don Raul trabajo para el hijo</t>
  </si>
  <si>
    <t>Marcela</t>
  </si>
  <si>
    <t>+56990830405</t>
  </si>
  <si>
    <t>20/07/2026 15:45</t>
  </si>
  <si>
    <t>Marcela Yañez</t>
  </si>
  <si>
    <t>+56987420605</t>
  </si>
  <si>
    <t>14/06/2026 15:56</t>
  </si>
  <si>
    <t>06/07/2026 11:43</t>
  </si>
  <si>
    <t>Margarita Toro Antinao</t>
  </si>
  <si>
    <t>+56940768439</t>
  </si>
  <si>
    <t>20/07/2026 10:38</t>
  </si>
  <si>
    <t>llame a clienta pero el numero no se encuentra disponible. Se insistira mas tarde</t>
  </si>
  <si>
    <t>Maria Elena 💋</t>
  </si>
  <si>
    <t>+56991879857</t>
  </si>
  <si>
    <t>29/06/2026 19:47</t>
  </si>
  <si>
    <t>29/06/2026 20:42</t>
  </si>
  <si>
    <t>MARÍA JOSÉ PASACHE</t>
  </si>
  <si>
    <t>+56977072722</t>
  </si>
  <si>
    <t>10/07/2026 10:57</t>
  </si>
  <si>
    <t>15/07/2026 13:54</t>
  </si>
  <si>
    <t>Cliente se llevo el auto hoy</t>
  </si>
  <si>
    <t>6.2</t>
  </si>
  <si>
    <t>Maria Rivera</t>
  </si>
  <si>
    <t>+56987920018</t>
  </si>
  <si>
    <t>08/07/2026 10:27</t>
  </si>
  <si>
    <t>clienta manda a buzon directo. Se cierra lead</t>
  </si>
  <si>
    <t>Mario Sebastián Ortiz Díaz</t>
  </si>
  <si>
    <t>+56998701466</t>
  </si>
  <si>
    <t>17/07/2026 10:15</t>
  </si>
  <si>
    <t>Se llama nuevamente al cliente y no contesta, se dejo enviado mensaje tampoco lo contesto</t>
  </si>
  <si>
    <t>8.7</t>
  </si>
  <si>
    <t>marroquinería garcia spa</t>
  </si>
  <si>
    <t>+56920482740</t>
  </si>
  <si>
    <t>01/07/2026 20:20</t>
  </si>
  <si>
    <t>01/07/2026 20:21</t>
  </si>
  <si>
    <t>Mauricio Montiel</t>
  </si>
  <si>
    <t>+56982190051</t>
  </si>
  <si>
    <t>29/06/2026 17:23</t>
  </si>
  <si>
    <t>09/07/2026 17:24</t>
  </si>
  <si>
    <t>cliente no volvio a contestar llamadas ni mensajes, Se cierra lead</t>
  </si>
  <si>
    <t>Mauro Ramos</t>
  </si>
  <si>
    <t>+56973054085</t>
  </si>
  <si>
    <t>18/07/2026 11:16</t>
  </si>
  <si>
    <t>El cliente indica que esta atendiendo el temporal, que lo llame el miércoles una vez que todo este mas tranquilo, pero que efectivamente le interesa, aunque esta viendo varias</t>
  </si>
  <si>
    <t>Max Valenzuela</t>
  </si>
  <si>
    <t>+56999193165</t>
  </si>
  <si>
    <t>18/07/2026 19:46</t>
  </si>
  <si>
    <t>20/07/2026 13:22</t>
  </si>
  <si>
    <t>llamando</t>
  </si>
  <si>
    <t>Maxi ~ Fruits</t>
  </si>
  <si>
    <t>+56932833845</t>
  </si>
  <si>
    <t>01/07/2026 20:09</t>
  </si>
  <si>
    <t>01/07/2026 20:22</t>
  </si>
  <si>
    <t>Maximilino Gutierrez Rodriguez</t>
  </si>
  <si>
    <t>+56949405280</t>
  </si>
  <si>
    <t>18/07/2026 10:40</t>
  </si>
  <si>
    <t>nuevamente volvi a llamar a cliente y no contesta ni whatsapp ni llamadas. Intentare el lunes nuevamente</t>
  </si>
  <si>
    <t>Memo!😊🤙🏼</t>
  </si>
  <si>
    <t>+56950166825</t>
  </si>
  <si>
    <t>17/07/2026 20:15</t>
  </si>
  <si>
    <t>no</t>
  </si>
  <si>
    <t>MGM GYM ENTRENAMIENTO FUERZA REÑACA ALTO</t>
  </si>
  <si>
    <t>+56945996768</t>
  </si>
  <si>
    <t>17/07/2026 10:29</t>
  </si>
  <si>
    <t>17/07/2026 10:34</t>
  </si>
  <si>
    <t>Se envia link del enlace para que el cliente reconozca el auto que esta cotizando con nosotros</t>
  </si>
  <si>
    <t>MILENA BEATRIZ</t>
  </si>
  <si>
    <t>+56986321258</t>
  </si>
  <si>
    <t>06/07/2026 16:43</t>
  </si>
  <si>
    <t>06/07/2026 16:45</t>
  </si>
  <si>
    <t>Llame a cliente. en espera de que me envie datos para evaluar credito</t>
  </si>
  <si>
    <t>MILTON</t>
  </si>
  <si>
    <t>+56945794145</t>
  </si>
  <si>
    <t>03/07/2026 17:50</t>
  </si>
  <si>
    <t>09/07/2026 12:19</t>
  </si>
  <si>
    <t>Se llama al cliente y no contesta, también se le ha escrito y llamado en varias oportunidades y no responde tampoco</t>
  </si>
  <si>
    <t>5.8</t>
  </si>
  <si>
    <t>Mirian Da Silva</t>
  </si>
  <si>
    <t>+56944830989</t>
  </si>
  <si>
    <t>Hola, tengo algunas preguntas sobre 2022 Dfsk 580 Glory Comfort 1.8 Mt Ac. https</t>
  </si>
  <si>
    <t>02/07/2026 18:20</t>
  </si>
  <si>
    <t>11/07/2026 10:40</t>
  </si>
  <si>
    <t>Se llama a la cliente y no responde ni contesta los mensajes, se le ha hecho seguimiento por una semana</t>
  </si>
  <si>
    <t>N/G🤯🇭🇹⚡️</t>
  </si>
  <si>
    <t>+56929742328</t>
  </si>
  <si>
    <t>03/07/2026 23:41</t>
  </si>
  <si>
    <t>06/07/2026 11:14</t>
  </si>
  <si>
    <t>Cliente contesta pero indica que no esta interesado, se le deja pasado el link para que vea los modelos de igual forma por si quiere evaluarlo mas adelante</t>
  </si>
  <si>
    <t>-2.5</t>
  </si>
  <si>
    <t>Nelson Melo</t>
  </si>
  <si>
    <t>+56986442286</t>
  </si>
  <si>
    <t>15/06/2026 21:50</t>
  </si>
  <si>
    <t>-16.7</t>
  </si>
  <si>
    <t>Nico Anguita</t>
  </si>
  <si>
    <t>+56956489450</t>
  </si>
  <si>
    <t>04/07/2026 13:15</t>
  </si>
  <si>
    <t>04/07/2026 10:26</t>
  </si>
  <si>
    <t>cliente viene a sucursal</t>
  </si>
  <si>
    <t>Nicolás</t>
  </si>
  <si>
    <t>+56926484045</t>
  </si>
  <si>
    <t>06/07/2026 11:01</t>
  </si>
  <si>
    <t>cliente contactado por telefono. En espera de que envie fotos del vehiculo que tiene en parte de pago</t>
  </si>
  <si>
    <t>Nicolas🤙🏻</t>
  </si>
  <si>
    <t>+56923718109</t>
  </si>
  <si>
    <t>29/06/2026 22:47</t>
  </si>
  <si>
    <t>Cliente no contesta ni llamadas ni whatsapp</t>
  </si>
  <si>
    <t>Nicole Carrasco Palacios</t>
  </si>
  <si>
    <t>+56973194605</t>
  </si>
  <si>
    <t>18/07/2026 10:53</t>
  </si>
  <si>
    <t>clienta contactada. Indica que solo estaba viendo las fotos pero que no esta interesada en comprar auto</t>
  </si>
  <si>
    <t>Niyireth Ordóñez Triviñoo</t>
  </si>
  <si>
    <t>+56940537276</t>
  </si>
  <si>
    <t>20/07/2026 18:08</t>
  </si>
  <si>
    <t>Se llama a la cliente y es de Antofagasta, le dará una vuelta a la publicación pero pudiese venir la primera semana de agosto</t>
  </si>
  <si>
    <t>Oscar Valdés</t>
  </si>
  <si>
    <t>+56998184777</t>
  </si>
  <si>
    <t>15/07/2026 17:50</t>
  </si>
  <si>
    <t>18/07/2026 12:24</t>
  </si>
  <si>
    <t>Se llama al cliente y no contesta</t>
  </si>
  <si>
    <t>Outlet Store de Service Global Mts</t>
  </si>
  <si>
    <t>+56997624297</t>
  </si>
  <si>
    <t>16/07/2026 21:44</t>
  </si>
  <si>
    <t>overtaker.ai</t>
  </si>
  <si>
    <t>+56975856112</t>
  </si>
  <si>
    <t>14/07/2026 17:33</t>
  </si>
  <si>
    <t>15/07/2026 17:53</t>
  </si>
  <si>
    <t>Pablo</t>
  </si>
  <si>
    <t>+56956784097</t>
  </si>
  <si>
    <t>06/07/2026 09:56</t>
  </si>
  <si>
    <t>09/07/2026 12:07</t>
  </si>
  <si>
    <t>Se ha llamado al cliente en varias oportunidades para indicarle que le podemos recibir el seltos por 11 millones pero no he logrado contactarlo ni por llamadas, ni por mensajes</t>
  </si>
  <si>
    <t>Hola, tengo algunas preguntas sobre 2023 Chevrolet Silverado Lt Trailboss Z71 5.</t>
  </si>
  <si>
    <t>Pablo Arraigada</t>
  </si>
  <si>
    <t>+56965611541</t>
  </si>
  <si>
    <t>07/07/2026 14:24</t>
  </si>
  <si>
    <t>Cliente indica que se decidió por la changan que estuvo cotizando, la UNI T</t>
  </si>
  <si>
    <t>Pablo Cifuentes Molina</t>
  </si>
  <si>
    <t>+56990890028</t>
  </si>
  <si>
    <t>13/07/2026 10:09</t>
  </si>
  <si>
    <t>Cliente indica que puso sus datos para poder ver la foto del vehiculo en la publicidad, y le decia que para verlo pusiera su foto. Dice que nunca le mostraron la foto del auto y ahora lo estan llamando de todos lados, No esta interesado. Se cierra lead</t>
  </si>
  <si>
    <t>Pablo Rios</t>
  </si>
  <si>
    <t>+56940924213</t>
  </si>
  <si>
    <t>17/07/2026 11:50</t>
  </si>
  <si>
    <t>17/07/2026 16:56</t>
  </si>
  <si>
    <t>Cliente con la expectativa lejos del precio de toma</t>
  </si>
  <si>
    <t>Pablo TC</t>
  </si>
  <si>
    <t>+56974422459</t>
  </si>
  <si>
    <t>19/06/2026 17:29</t>
  </si>
  <si>
    <t>13/07/2026 10:58</t>
  </si>
  <si>
    <t>Se hace seguimiento con el cliente y se le indica que solo me esta quedando una automática 4x4, y me indico que se decidió por otro modelo que estaba mas económico</t>
  </si>
  <si>
    <t>-23.7</t>
  </si>
  <si>
    <t>Pamela</t>
  </si>
  <si>
    <t>+56968769409</t>
  </si>
  <si>
    <t>27/06/2026 15:27</t>
  </si>
  <si>
    <t>07/07/2026 12:50</t>
  </si>
  <si>
    <t>Se llama a la cliente para mostrarle los modelos que tenemos parecidos a la RAV4 e indica que no esta interesada</t>
  </si>
  <si>
    <t>-9.9</t>
  </si>
  <si>
    <t>Pamela Plaza</t>
  </si>
  <si>
    <t>+56952288556</t>
  </si>
  <si>
    <t>01/07/2026 11:24</t>
  </si>
  <si>
    <t>17/07/2026 11:53</t>
  </si>
  <si>
    <t>La cliente me contesto pero me corto cuando le indique que era de RMG por su interés en el Peugeot 3008 hibrida</t>
  </si>
  <si>
    <t>-16.0</t>
  </si>
  <si>
    <t>Patricio</t>
  </si>
  <si>
    <t>+56948110901</t>
  </si>
  <si>
    <t>20/06/2026 13:00</t>
  </si>
  <si>
    <t>13/07/2026 11:04</t>
  </si>
  <si>
    <t>Cliente indica que sigue buscando una RAM 1500, estuvo interesado en la Silverado pero no enviaba la carpeta tributaria, de hecho aun no la tenia</t>
  </si>
  <si>
    <t>-22.9</t>
  </si>
  <si>
    <t>Patricio Opazo</t>
  </si>
  <si>
    <t>+56981205430</t>
  </si>
  <si>
    <t>18/07/2026 16:20</t>
  </si>
  <si>
    <t>20/07/2026 09:44</t>
  </si>
  <si>
    <t>Patricio Pinilla</t>
  </si>
  <si>
    <t>+56995589541</t>
  </si>
  <si>
    <t>22/06/2026 18:51</t>
  </si>
  <si>
    <t>01/07/2026 13:45</t>
  </si>
  <si>
    <t>volvi a llamar a cliente e indica que aun no va a comprar. Que el me contactara</t>
  </si>
  <si>
    <t>-8.8</t>
  </si>
  <si>
    <t>Patricio Videla</t>
  </si>
  <si>
    <t>+56998033767</t>
  </si>
  <si>
    <t>14/07/2026 21:18</t>
  </si>
  <si>
    <t>Llamare al cliente para agendar visita</t>
  </si>
  <si>
    <t>-3.6</t>
  </si>
  <si>
    <t>PAULA</t>
  </si>
  <si>
    <t>+56977750082</t>
  </si>
  <si>
    <t>17/07/2026 15:20</t>
  </si>
  <si>
    <t>Se llama a la cliente y no contesta, se dejo enviada la plantilla y tampoco, se hará seguimiento la próxima semana</t>
  </si>
  <si>
    <t>Pedro San Martin</t>
  </si>
  <si>
    <t>+56984067660</t>
  </si>
  <si>
    <t>10/07/2026 15:11</t>
  </si>
  <si>
    <t>10/07/2026 15:12</t>
  </si>
  <si>
    <t>cliente viene mañana a ver la camioneta</t>
  </si>
  <si>
    <t>Philip Evans Rodriguez</t>
  </si>
  <si>
    <t>+56939469086</t>
  </si>
  <si>
    <t>Chevrolet Silverado Z71 4x4</t>
  </si>
  <si>
    <t>20/07/2026 10:10</t>
  </si>
  <si>
    <t>20/07/2026 10:43</t>
  </si>
  <si>
    <t>le ofreci al cliente algun otro modelo ya que la silverado se encuentra vendida. Me comenta que el me avisa</t>
  </si>
  <si>
    <t>Priscila</t>
  </si>
  <si>
    <t>+56971422907</t>
  </si>
  <si>
    <t>10/07/2026 10:46</t>
  </si>
  <si>
    <t>Cliente indica que descarto la Mokka y decidió comprarse una Mazda</t>
  </si>
  <si>
    <t>Rafa</t>
  </si>
  <si>
    <t>+56953576435</t>
  </si>
  <si>
    <t>22/06/2026 07:16</t>
  </si>
  <si>
    <t>-10.2</t>
  </si>
  <si>
    <t>Rafael Fuentes Galvez</t>
  </si>
  <si>
    <t>+56992724046</t>
  </si>
  <si>
    <t>Hola, tengo algunas preguntas sobre Peugeot 3008 Allure Pack Blue Hdi 130 Eat8.</t>
  </si>
  <si>
    <t>08/07/2026 10:18</t>
  </si>
  <si>
    <t>17/07/2026 13:43</t>
  </si>
  <si>
    <t>Se llama al cliente y no contesta, se le han dejado enviados varios mensajes y no he tenido éxitos en contactarlo por llamada, y ahora no responde los mensajes</t>
  </si>
  <si>
    <t>-9.1</t>
  </si>
  <si>
    <t>Rene Quezada R</t>
  </si>
  <si>
    <t>+56996381619</t>
  </si>
  <si>
    <t>14/07/2026 10:45</t>
  </si>
  <si>
    <t>cliente indica que ya compro. indica que solo queria mirar las fotos</t>
  </si>
  <si>
    <t>Roberto</t>
  </si>
  <si>
    <t>+56942409372</t>
  </si>
  <si>
    <t>12/07/2026 11:50</t>
  </si>
  <si>
    <t>12/07/2026 13:13</t>
  </si>
  <si>
    <t>+56941058626</t>
  </si>
  <si>
    <t>30/06/2026 15:36</t>
  </si>
  <si>
    <t>06/07/2026 16:39</t>
  </si>
  <si>
    <t>Cliente indica que sigue buscando una 5008, que realmente es el modelo que le gusta</t>
  </si>
  <si>
    <t>Robinson Sierpe</t>
  </si>
  <si>
    <t>+56949214902</t>
  </si>
  <si>
    <t>cliente no contesto llamadas. Se contactaramas tarde</t>
  </si>
  <si>
    <t>Rocio Contreras</t>
  </si>
  <si>
    <t>+56971297989</t>
  </si>
  <si>
    <t>08/07/2026 16:44</t>
  </si>
  <si>
    <t>se cierra lead. Cliente busca vehiculo 4x4, no le interesa la peugeot landtreck que tenemos disponible</t>
  </si>
  <si>
    <t>Rodolfo</t>
  </si>
  <si>
    <t>+56978096207</t>
  </si>
  <si>
    <t>12/07/2026 11:58</t>
  </si>
  <si>
    <t>13/07/2026 10:11</t>
  </si>
  <si>
    <t>llame a cliente e indica que solo busca 5008. No esta interesado en otro modelo de auto. Pide que no se le vuelva a llamar. Se abandona lead</t>
  </si>
  <si>
    <t>romeo</t>
  </si>
  <si>
    <t>+56995327004</t>
  </si>
  <si>
    <t>14/07/2026 12:42</t>
  </si>
  <si>
    <t>14/07/2026 13:08</t>
  </si>
  <si>
    <t>Se conversa con el cliente y se envía el link, finalmente el auto que esta comprando es para la esposa y quiere revisar todas las alternativas en nuestra pagina, el cliente es de los Andes</t>
  </si>
  <si>
    <t>Romi</t>
  </si>
  <si>
    <t>+56950433733</t>
  </si>
  <si>
    <t>¡Hola! Completé el formulario y me gustaría obtener más información sobre tu neg</t>
  </si>
  <si>
    <t>19/07/2026 13:18</t>
  </si>
  <si>
    <t>ROMINA AVENDANO CHRISTO</t>
  </si>
  <si>
    <t>+56972105344</t>
  </si>
  <si>
    <t>07/07/2026 11:45</t>
  </si>
  <si>
    <t>Se llama al cliente, y nos indica que no quiere comprar otro modelo</t>
  </si>
  <si>
    <t>Rox</t>
  </si>
  <si>
    <t>+56967159073</t>
  </si>
  <si>
    <t>16/07/2026 07:04</t>
  </si>
  <si>
    <t>16/07/2026 10:21</t>
  </si>
  <si>
    <t>Solicitar tasación</t>
  </si>
  <si>
    <t>S/N</t>
  </si>
  <si>
    <t>+56982026861</t>
  </si>
  <si>
    <t>18/07/2026 11:08</t>
  </si>
  <si>
    <t>envie whatsapp y llame al cliente. No recibi respuesta de ninguna de las dos formas. Se abandona lead</t>
  </si>
  <si>
    <t>+56950224638</t>
  </si>
  <si>
    <t>12/07/2026 10:51</t>
  </si>
  <si>
    <t>12/07/2026 13:10</t>
  </si>
  <si>
    <t>+56959497197</t>
  </si>
  <si>
    <t>11/07/2026 10:28</t>
  </si>
  <si>
    <t>20/07/2026 12:35</t>
  </si>
  <si>
    <t>vehiculo se vendio. Se le oferecieron otras opciones pero no esta interesado. Se abandona lead</t>
  </si>
  <si>
    <t>+56992511147</t>
  </si>
  <si>
    <t>11/07/2026 10:12</t>
  </si>
  <si>
    <t>18/07/2026 12:29</t>
  </si>
  <si>
    <t>Cliente indica que no le interesa</t>
  </si>
  <si>
    <t>-7.1</t>
  </si>
  <si>
    <t>+56987751435</t>
  </si>
  <si>
    <t>09/07/2026 17:13</t>
  </si>
  <si>
    <t>Se llamo al cliente y me indica que busca una que sea facturable, que no le sirve, se le ofreció la opción de la landtrek y no se tuvo éxito</t>
  </si>
  <si>
    <t>+56934383658</t>
  </si>
  <si>
    <t>08/07/2026 10:47</t>
  </si>
  <si>
    <t>Se llama y el número corresponde a callcenter, no es cliente valido</t>
  </si>
  <si>
    <t>+56956194353</t>
  </si>
  <si>
    <t>17/07/2026 12:12</t>
  </si>
  <si>
    <t>Se vuelve a llamar al cliente y no contesta</t>
  </si>
  <si>
    <t>+56954057715</t>
  </si>
  <si>
    <t>06/07/2026 13:35</t>
  </si>
  <si>
    <t>17/07/2026 16:10</t>
  </si>
  <si>
    <t>Se llama al cliente nuevamente para evaluar la posibilidad de cambiarlo de camioneta y actualizar los datos del contacto, pero me desvía las llamadas</t>
  </si>
  <si>
    <t>-11.1</t>
  </si>
  <si>
    <t>+56944141545</t>
  </si>
  <si>
    <t>05-07-2026</t>
  </si>
  <si>
    <t>05/07/2026 11:50</t>
  </si>
  <si>
    <t>02/07/2026 15:43</t>
  </si>
  <si>
    <t>llame a cliente y no contesta. El whatsapp tampoco lo contesta</t>
  </si>
  <si>
    <t>2.8</t>
  </si>
  <si>
    <t>+56990761397</t>
  </si>
  <si>
    <t>02/07/2026 13:11</t>
  </si>
  <si>
    <t>06/07/2026 11:46</t>
  </si>
  <si>
    <t>Cliente no contesta las llamadas ni los mensajes</t>
  </si>
  <si>
    <t>+56962139664</t>
  </si>
  <si>
    <t>01/07/2026 12:29</t>
  </si>
  <si>
    <t>Atiende un numero de contestadora de callcenter y dice que no esta disponible en ese momento</t>
  </si>
  <si>
    <t>Samuel Andres Sandoval Acuña</t>
  </si>
  <si>
    <t>+56966369522</t>
  </si>
  <si>
    <t>20/07/2026 13:40</t>
  </si>
  <si>
    <t>Cliente no esta interesado, solo andaba mirando</t>
  </si>
  <si>
    <t>Santiago Vásquez</t>
  </si>
  <si>
    <t>+56962136084</t>
  </si>
  <si>
    <t>Landtrek Diésel + Precios Congelados ❄️</t>
  </si>
  <si>
    <t>18/06/2026 19:51</t>
  </si>
  <si>
    <t>17/07/2026 13:36</t>
  </si>
  <si>
    <t>Se llama al cliente y me indica que vera las fotos nuevamente para darle una vuelta</t>
  </si>
  <si>
    <t>-28.7</t>
  </si>
  <si>
    <t>Sebastián</t>
  </si>
  <si>
    <t>+56939487318</t>
  </si>
  <si>
    <t>Hola, me gustaría cotizar un auto</t>
  </si>
  <si>
    <t>10/07/2026 11:20</t>
  </si>
  <si>
    <t>11/07/2026 11:32</t>
  </si>
  <si>
    <t>cliente prueba</t>
  </si>
  <si>
    <t>Sebastian Castro Phillippi</t>
  </si>
  <si>
    <t>+56943582992</t>
  </si>
  <si>
    <t>17/07/2026 16:43</t>
  </si>
  <si>
    <t>cliente no esta interesado. solo estaba viendo las fotos</t>
  </si>
  <si>
    <t>Sergio Gutiérrez F.</t>
  </si>
  <si>
    <t>+56993336189</t>
  </si>
  <si>
    <t>08/07/2026 12:24</t>
  </si>
  <si>
    <t>Se actualiza el estatus, porque el cliente se inclino por el otro que vio</t>
  </si>
  <si>
    <t>Simon</t>
  </si>
  <si>
    <t>+56958617838</t>
  </si>
  <si>
    <t>13/07/2026 15:47</t>
  </si>
  <si>
    <t>15/07/2026 11:32</t>
  </si>
  <si>
    <t>llame a cliente y busca vehiculo 0 kms. le ofreci los seminuevos que tenemos disponibles pero no esta interesado se abandona lead</t>
  </si>
  <si>
    <t>tomás del río w.</t>
  </si>
  <si>
    <t>+56996896776</t>
  </si>
  <si>
    <t>18/06/2026 19:40</t>
  </si>
  <si>
    <t>17/07/2026 17:00</t>
  </si>
  <si>
    <t>🚗 Datos retoma: VOLKSWAGEN NIVUS  2021 | Patente: RBDP93 | Km: 60000 | Versión: TSI 1.0 AUT | Color: PLATEADO</t>
  </si>
  <si>
    <t>-28.9</t>
  </si>
  <si>
    <t>Tuning racingtuning9@gmai</t>
  </si>
  <si>
    <t>+56922381713</t>
  </si>
  <si>
    <t>22/06/2026 16:32</t>
  </si>
  <si>
    <t>01/07/2026 13:51</t>
  </si>
  <si>
    <t>cliente indica que vio las fotos pero no la quiere roja. Se abandona lead</t>
  </si>
  <si>
    <t>-8.9</t>
  </si>
  <si>
    <t>Valentina Sandoval</t>
  </si>
  <si>
    <t>+56971002171</t>
  </si>
  <si>
    <t>08/07/2026 10:53</t>
  </si>
  <si>
    <t>clienta es de chillan, le envie fotos del vehiculo. Lo va a conversar con su esposo</t>
  </si>
  <si>
    <t>Vera Jiménez Gonzalo</t>
  </si>
  <si>
    <t>+56930896938</t>
  </si>
  <si>
    <t>01/07/2026 11:05</t>
  </si>
  <si>
    <t>cliente no contesta llamadas se contactara mas tarde</t>
  </si>
  <si>
    <t>Victor Alejandro Caro</t>
  </si>
  <si>
    <t>+56988803118</t>
  </si>
  <si>
    <t>13/07/2026 11:37</t>
  </si>
  <si>
    <t>13/07/2026 11:39</t>
  </si>
  <si>
    <t>llame a cliente para contarle que tenemos una peugeot landtreck facturable y me pidio que le envie las fotos,</t>
  </si>
  <si>
    <t>VICTOR DE LA PUENTE CARVAJAL</t>
  </si>
  <si>
    <t>+56973548882</t>
  </si>
  <si>
    <t>07/07/2026 17:37</t>
  </si>
  <si>
    <t>cliente contactado. tiene vpp. en espera que envie datos de su vehiculo para tasarlo</t>
  </si>
  <si>
    <t>Victor Martinez</t>
  </si>
  <si>
    <t>+56998643035</t>
  </si>
  <si>
    <t>13/07/2026 21:06</t>
  </si>
  <si>
    <t>15/07/2026 11:30</t>
  </si>
  <si>
    <t>cliente me desvia la llamada. Le volvi a enviar whatsapp</t>
  </si>
  <si>
    <t>Virginia</t>
  </si>
  <si>
    <t>+56981295377</t>
  </si>
  <si>
    <t>Hola, tengo algunas preguntas sobre 2025 Peugeot 3008 1.2 Mhev 136 Allure Edct6.</t>
  </si>
  <si>
    <t>20/07/2026 17:25</t>
  </si>
  <si>
    <t>29/06/2026 10:57</t>
  </si>
  <si>
    <t>Se retoma conversación con la cliente</t>
  </si>
  <si>
    <t>21.3</t>
  </si>
  <si>
    <t>Virginia Alejandra de Lourdes Zúñiga Labbé</t>
  </si>
  <si>
    <t>+56923860298</t>
  </si>
  <si>
    <t>clienta contactada. Me avisara si puede venir a sucursal a ver el vehiculo ya que anda fuera de Santiago. La llamare el viernes</t>
  </si>
  <si>
    <t>1.9</t>
  </si>
  <si>
    <t>Waldo</t>
  </si>
  <si>
    <t>+56950273445</t>
  </si>
  <si>
    <t>15/06/2026 16:08</t>
  </si>
  <si>
    <t>-17.0</t>
  </si>
  <si>
    <t>WhatsApp Lead</t>
  </si>
  <si>
    <t>+56983302067</t>
  </si>
  <si>
    <t>11/07/2026 17:42</t>
  </si>
  <si>
    <t>11/07/2026 11:09</t>
  </si>
  <si>
    <t>prueba JUAN CARLOS</t>
  </si>
  <si>
    <t>Wilmer J Mendez Morao</t>
  </si>
  <si>
    <t>+56941655464</t>
  </si>
  <si>
    <t>29/06/2026 19:50</t>
  </si>
  <si>
    <t>01/07/2026 13:06</t>
  </si>
  <si>
    <t>cliente desvia la llamada y no contesta whatsapp. Se envia plantilla de saludo</t>
  </si>
  <si>
    <t>Wilson Muñoz Guerrero</t>
  </si>
  <si>
    <t>+56965954787</t>
  </si>
  <si>
    <t>13/07/2026 10:07</t>
  </si>
  <si>
    <t>17/07/2026 15:27</t>
  </si>
  <si>
    <t>Cliente es de Rancagua y se complico para venir, lo veremos en su próximo descanso que es a finales de mes</t>
  </si>
  <si>
    <t>ximena Olguin Nuñez</t>
  </si>
  <si>
    <t>+56961156032</t>
  </si>
  <si>
    <t>llame a clienta y me desvio la llamada. Se insistira mas tarde</t>
  </si>
  <si>
    <t>YAREN URIBE</t>
  </si>
  <si>
    <t>+56923799257</t>
  </si>
  <si>
    <t>18/07/2026 10:28</t>
  </si>
  <si>
    <t>Clienta contactada. Indica que quiere venir en la semana a ver el auto. Aun no tiene definido el dia. Me va a avisar por whatsapp. Se dara seguimiento</t>
  </si>
  <si>
    <t>Yesenia</t>
  </si>
  <si>
    <t>+56981627024</t>
  </si>
  <si>
    <t>Consulta desde Meta Ads</t>
  </si>
  <si>
    <t>11/06/2026 09:03</t>
  </si>
  <si>
    <t>10/07/2026 12:36</t>
  </si>
  <si>
    <t>Se llama a la cliente y no sale siempre ocupada la linea, tampoco logro contacto a traves de los mensajes</t>
  </si>
  <si>
    <t>-29.1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</si>
</sst>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6"/>
  <sheetViews>
    <sheetView tabSelected="1" workbookViewId="0">
      <selection activeCell="D256" sqref="D256"/>
    </sheetView>
  </sheetViews>
  <sheetFormatPr baseColWidth="10" defaultRowHeight="16" x14ac:dyDescent="0.2"/>
  <cols>
    <col min="1" max="1" width="26.83203125" customWidth="1"/>
    <col min="2" max="2" width="16.83203125" customWidth="1"/>
    <col min="3" max="3" width="34.83203125" customWidth="1"/>
    <col min="4" max="4" width="42.83203125" customWidth="1"/>
    <col min="5" max="7" width="14.83203125" customWidth="1"/>
    <col min="8" max="8" width="18.83203125" customWidth="1"/>
    <col min="9" max="9" width="14.83203125" customWidth="1"/>
    <col min="10" max="11" width="16.83203125" customWidth="1"/>
    <col min="12" max="12" width="40.83203125" customWidth="1"/>
    <col min="13" max="14" width="13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">
        <f t="shared" ref="F2:F41" si="0">MONTH(E2)</f>
        <v>7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18</v>
      </c>
      <c r="N2" t="s">
        <v>30</v>
      </c>
    </row>
    <row r="3" spans="1:14" x14ac:dyDescent="0.2">
      <c r="A3" t="s">
        <v>19</v>
      </c>
      <c r="B3" t="s">
        <v>31</v>
      </c>
      <c r="C3" t="s">
        <v>21</v>
      </c>
      <c r="D3" t="s">
        <v>32</v>
      </c>
      <c r="E3" t="s">
        <v>33</v>
      </c>
      <c r="F3" s="1">
        <f t="shared" si="0"/>
        <v>7</v>
      </c>
      <c r="G3" t="s">
        <v>16</v>
      </c>
      <c r="H3" t="s">
        <v>17</v>
      </c>
      <c r="I3" t="s">
        <v>34</v>
      </c>
      <c r="J3" t="s">
        <v>35</v>
      </c>
      <c r="K3" t="s">
        <v>36</v>
      </c>
      <c r="L3" t="s">
        <v>37</v>
      </c>
      <c r="M3" t="s">
        <v>18</v>
      </c>
      <c r="N3" t="s">
        <v>38</v>
      </c>
    </row>
    <row r="4" spans="1:14" x14ac:dyDescent="0.2">
      <c r="A4" t="s">
        <v>48</v>
      </c>
      <c r="B4" t="s">
        <v>49</v>
      </c>
      <c r="C4" t="s">
        <v>21</v>
      </c>
      <c r="D4" t="s">
        <v>50</v>
      </c>
      <c r="E4" t="s">
        <v>51</v>
      </c>
      <c r="F4" s="1">
        <f t="shared" si="0"/>
        <v>7</v>
      </c>
      <c r="G4" t="s">
        <v>24</v>
      </c>
      <c r="H4" t="s">
        <v>25</v>
      </c>
      <c r="I4" t="s">
        <v>51</v>
      </c>
      <c r="J4" t="s">
        <v>52</v>
      </c>
      <c r="K4" t="s">
        <v>53</v>
      </c>
      <c r="L4" t="s">
        <v>54</v>
      </c>
      <c r="M4" t="s">
        <v>18</v>
      </c>
      <c r="N4" t="s">
        <v>55</v>
      </c>
    </row>
    <row r="5" spans="1:14" x14ac:dyDescent="0.2">
      <c r="A5" t="s">
        <v>56</v>
      </c>
      <c r="B5" t="s">
        <v>57</v>
      </c>
      <c r="C5" t="s">
        <v>42</v>
      </c>
      <c r="D5" t="s">
        <v>58</v>
      </c>
      <c r="E5" t="s">
        <v>59</v>
      </c>
      <c r="F5" s="1">
        <f t="shared" si="0"/>
        <v>7</v>
      </c>
      <c r="G5" t="s">
        <v>16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18</v>
      </c>
      <c r="N5" t="s">
        <v>65</v>
      </c>
    </row>
    <row r="6" spans="1:14" x14ac:dyDescent="0.2">
      <c r="A6" t="s">
        <v>66</v>
      </c>
      <c r="B6" t="s">
        <v>67</v>
      </c>
      <c r="C6" t="s">
        <v>21</v>
      </c>
      <c r="D6" t="s">
        <v>68</v>
      </c>
      <c r="E6" t="s">
        <v>69</v>
      </c>
      <c r="F6" s="1">
        <f t="shared" si="0"/>
        <v>7</v>
      </c>
      <c r="G6" t="s">
        <v>16</v>
      </c>
      <c r="H6" t="s">
        <v>25</v>
      </c>
      <c r="I6" t="s">
        <v>70</v>
      </c>
      <c r="J6" t="s">
        <v>71</v>
      </c>
      <c r="K6" t="s">
        <v>72</v>
      </c>
      <c r="L6" t="s">
        <v>73</v>
      </c>
      <c r="M6" t="s">
        <v>18</v>
      </c>
      <c r="N6" t="s">
        <v>74</v>
      </c>
    </row>
    <row r="7" spans="1:14" x14ac:dyDescent="0.2">
      <c r="A7" t="s">
        <v>75</v>
      </c>
      <c r="B7" t="s">
        <v>76</v>
      </c>
      <c r="C7" t="s">
        <v>21</v>
      </c>
      <c r="D7" t="s">
        <v>77</v>
      </c>
      <c r="E7" t="s">
        <v>23</v>
      </c>
      <c r="F7" s="1">
        <f t="shared" si="0"/>
        <v>7</v>
      </c>
      <c r="G7" t="s">
        <v>24</v>
      </c>
      <c r="H7" t="s">
        <v>60</v>
      </c>
      <c r="I7" t="s">
        <v>23</v>
      </c>
      <c r="J7" t="s">
        <v>78</v>
      </c>
      <c r="K7" t="s">
        <v>79</v>
      </c>
      <c r="L7" t="s">
        <v>80</v>
      </c>
      <c r="M7" t="s">
        <v>18</v>
      </c>
      <c r="N7" t="s">
        <v>81</v>
      </c>
    </row>
    <row r="8" spans="1:14" x14ac:dyDescent="0.2">
      <c r="A8" t="s">
        <v>84</v>
      </c>
      <c r="B8" t="s">
        <v>85</v>
      </c>
      <c r="C8" t="s">
        <v>42</v>
      </c>
      <c r="D8" t="s">
        <v>86</v>
      </c>
      <c r="E8" t="s">
        <v>59</v>
      </c>
      <c r="F8" s="1">
        <f t="shared" si="0"/>
        <v>7</v>
      </c>
      <c r="G8" t="s">
        <v>16</v>
      </c>
      <c r="H8" t="s">
        <v>17</v>
      </c>
      <c r="I8" t="s">
        <v>87</v>
      </c>
      <c r="J8" t="s">
        <v>88</v>
      </c>
      <c r="K8" t="s">
        <v>89</v>
      </c>
      <c r="L8" t="s">
        <v>90</v>
      </c>
      <c r="M8" t="s">
        <v>18</v>
      </c>
      <c r="N8" t="s">
        <v>91</v>
      </c>
    </row>
    <row r="9" spans="1:14" x14ac:dyDescent="0.2">
      <c r="A9" t="s">
        <v>92</v>
      </c>
      <c r="B9" t="s">
        <v>93</v>
      </c>
      <c r="C9" t="s">
        <v>21</v>
      </c>
      <c r="D9" t="s">
        <v>39</v>
      </c>
      <c r="E9" t="s">
        <v>59</v>
      </c>
      <c r="F9" s="1">
        <f t="shared" si="0"/>
        <v>7</v>
      </c>
      <c r="G9" t="s">
        <v>16</v>
      </c>
      <c r="H9" t="s">
        <v>25</v>
      </c>
      <c r="I9" t="s">
        <v>94</v>
      </c>
      <c r="J9" t="s">
        <v>95</v>
      </c>
      <c r="K9" t="s">
        <v>96</v>
      </c>
      <c r="L9" t="s">
        <v>97</v>
      </c>
      <c r="M9" t="s">
        <v>18</v>
      </c>
      <c r="N9" t="s">
        <v>98</v>
      </c>
    </row>
    <row r="10" spans="1:14" x14ac:dyDescent="0.2">
      <c r="A10" t="s">
        <v>99</v>
      </c>
      <c r="B10" t="s">
        <v>100</v>
      </c>
      <c r="C10" t="s">
        <v>101</v>
      </c>
      <c r="D10" t="s">
        <v>102</v>
      </c>
      <c r="E10" t="s">
        <v>51</v>
      </c>
      <c r="F10" s="1">
        <f t="shared" si="0"/>
        <v>7</v>
      </c>
      <c r="G10" t="s">
        <v>16</v>
      </c>
      <c r="H10" t="s">
        <v>25</v>
      </c>
      <c r="I10" t="s">
        <v>103</v>
      </c>
      <c r="J10" t="s">
        <v>104</v>
      </c>
      <c r="K10" t="s">
        <v>105</v>
      </c>
      <c r="L10" t="s">
        <v>106</v>
      </c>
      <c r="M10" t="s">
        <v>18</v>
      </c>
      <c r="N10" t="s">
        <v>107</v>
      </c>
    </row>
    <row r="11" spans="1:14" x14ac:dyDescent="0.2">
      <c r="A11" t="s">
        <v>110</v>
      </c>
      <c r="B11" t="s">
        <v>111</v>
      </c>
      <c r="C11" t="s">
        <v>101</v>
      </c>
      <c r="D11" t="s">
        <v>112</v>
      </c>
      <c r="E11" t="s">
        <v>59</v>
      </c>
      <c r="F11" s="1">
        <f t="shared" si="0"/>
        <v>7</v>
      </c>
      <c r="G11" t="s">
        <v>16</v>
      </c>
      <c r="H11" t="s">
        <v>25</v>
      </c>
      <c r="I11" t="s">
        <v>82</v>
      </c>
      <c r="J11" t="s">
        <v>113</v>
      </c>
      <c r="K11" t="s">
        <v>114</v>
      </c>
      <c r="L11" t="s">
        <v>115</v>
      </c>
      <c r="M11" t="s">
        <v>18</v>
      </c>
      <c r="N11" t="s">
        <v>116</v>
      </c>
    </row>
    <row r="12" spans="1:14" x14ac:dyDescent="0.2">
      <c r="A12" t="s">
        <v>117</v>
      </c>
      <c r="B12" t="s">
        <v>118</v>
      </c>
      <c r="C12" t="s">
        <v>42</v>
      </c>
      <c r="D12" t="s">
        <v>119</v>
      </c>
      <c r="E12" t="s">
        <v>120</v>
      </c>
      <c r="F12" s="1">
        <f t="shared" si="0"/>
        <v>7</v>
      </c>
      <c r="G12" t="s">
        <v>16</v>
      </c>
      <c r="H12" t="s">
        <v>17</v>
      </c>
      <c r="I12" t="s">
        <v>51</v>
      </c>
      <c r="J12" t="s">
        <v>121</v>
      </c>
      <c r="K12" t="s">
        <v>122</v>
      </c>
      <c r="L12" t="s">
        <v>123</v>
      </c>
      <c r="M12" t="s">
        <v>18</v>
      </c>
      <c r="N12" t="s">
        <v>124</v>
      </c>
    </row>
    <row r="13" spans="1:14" x14ac:dyDescent="0.2">
      <c r="A13" t="s">
        <v>125</v>
      </c>
      <c r="B13" t="s">
        <v>126</v>
      </c>
      <c r="C13" t="s">
        <v>21</v>
      </c>
      <c r="D13" t="s">
        <v>39</v>
      </c>
      <c r="E13" t="s">
        <v>59</v>
      </c>
      <c r="F13" s="1">
        <f t="shared" si="0"/>
        <v>7</v>
      </c>
      <c r="G13" t="s">
        <v>16</v>
      </c>
      <c r="H13" t="s">
        <v>25</v>
      </c>
      <c r="I13" t="s">
        <v>127</v>
      </c>
      <c r="J13" t="s">
        <v>128</v>
      </c>
      <c r="K13" t="s">
        <v>129</v>
      </c>
      <c r="L13" t="s">
        <v>130</v>
      </c>
      <c r="M13" t="s">
        <v>18</v>
      </c>
      <c r="N13" t="s">
        <v>131</v>
      </c>
    </row>
    <row r="14" spans="1:14" x14ac:dyDescent="0.2">
      <c r="A14" t="s">
        <v>132</v>
      </c>
      <c r="B14" t="s">
        <v>133</v>
      </c>
      <c r="C14" t="s">
        <v>42</v>
      </c>
      <c r="D14" t="s">
        <v>134</v>
      </c>
      <c r="E14" t="s">
        <v>135</v>
      </c>
      <c r="F14" s="1">
        <f t="shared" si="0"/>
        <v>7</v>
      </c>
      <c r="G14" t="s">
        <v>16</v>
      </c>
      <c r="H14" t="s">
        <v>60</v>
      </c>
      <c r="I14" t="s">
        <v>135</v>
      </c>
      <c r="J14" t="s">
        <v>136</v>
      </c>
      <c r="K14" t="s">
        <v>137</v>
      </c>
      <c r="L14" t="s">
        <v>138</v>
      </c>
      <c r="M14" t="s">
        <v>18</v>
      </c>
      <c r="N14" t="s">
        <v>139</v>
      </c>
    </row>
    <row r="15" spans="1:14" x14ac:dyDescent="0.2">
      <c r="A15" t="s">
        <v>140</v>
      </c>
      <c r="B15" t="s">
        <v>141</v>
      </c>
      <c r="C15" t="s">
        <v>21</v>
      </c>
      <c r="D15" t="s">
        <v>142</v>
      </c>
      <c r="E15" t="s">
        <v>59</v>
      </c>
      <c r="F15" s="1">
        <f t="shared" si="0"/>
        <v>7</v>
      </c>
      <c r="G15" t="s">
        <v>16</v>
      </c>
      <c r="H15" t="s">
        <v>25</v>
      </c>
      <c r="I15" t="s">
        <v>15</v>
      </c>
      <c r="J15" t="s">
        <v>143</v>
      </c>
      <c r="K15" t="s">
        <v>144</v>
      </c>
      <c r="L15" t="s">
        <v>145</v>
      </c>
      <c r="M15" t="s">
        <v>18</v>
      </c>
      <c r="N15" t="s">
        <v>146</v>
      </c>
    </row>
    <row r="16" spans="1:14" x14ac:dyDescent="0.2">
      <c r="A16" t="s">
        <v>147</v>
      </c>
      <c r="B16" t="s">
        <v>148</v>
      </c>
      <c r="C16" t="s">
        <v>42</v>
      </c>
      <c r="D16" t="s">
        <v>149</v>
      </c>
      <c r="E16" t="s">
        <v>59</v>
      </c>
      <c r="F16" s="1">
        <f t="shared" si="0"/>
        <v>7</v>
      </c>
      <c r="G16" t="s">
        <v>16</v>
      </c>
      <c r="H16" t="s">
        <v>25</v>
      </c>
      <c r="I16" t="s">
        <v>94</v>
      </c>
      <c r="J16" t="s">
        <v>150</v>
      </c>
      <c r="K16" t="s">
        <v>151</v>
      </c>
      <c r="L16" t="s">
        <v>152</v>
      </c>
      <c r="M16" t="s">
        <v>18</v>
      </c>
      <c r="N16" t="s">
        <v>98</v>
      </c>
    </row>
    <row r="17" spans="1:14" x14ac:dyDescent="0.2">
      <c r="A17" t="s">
        <v>153</v>
      </c>
      <c r="B17" t="s">
        <v>154</v>
      </c>
      <c r="C17" t="s">
        <v>21</v>
      </c>
      <c r="D17" t="s">
        <v>155</v>
      </c>
      <c r="E17" t="s">
        <v>156</v>
      </c>
      <c r="F17" s="1">
        <f t="shared" si="0"/>
        <v>7</v>
      </c>
      <c r="G17" t="s">
        <v>24</v>
      </c>
      <c r="H17" t="s">
        <v>25</v>
      </c>
      <c r="I17" t="s">
        <v>157</v>
      </c>
      <c r="J17" t="s">
        <v>158</v>
      </c>
      <c r="K17" t="s">
        <v>159</v>
      </c>
      <c r="L17" t="s">
        <v>160</v>
      </c>
      <c r="M17" t="s">
        <v>18</v>
      </c>
      <c r="N17" t="s">
        <v>161</v>
      </c>
    </row>
    <row r="18" spans="1:14" x14ac:dyDescent="0.2">
      <c r="A18" t="s">
        <v>164</v>
      </c>
      <c r="B18" t="s">
        <v>165</v>
      </c>
      <c r="C18" t="s">
        <v>13</v>
      </c>
      <c r="D18" t="s">
        <v>166</v>
      </c>
      <c r="E18" t="s">
        <v>135</v>
      </c>
      <c r="F18" s="1">
        <f t="shared" si="0"/>
        <v>7</v>
      </c>
      <c r="G18" t="s">
        <v>24</v>
      </c>
      <c r="H18" t="s">
        <v>17</v>
      </c>
      <c r="I18" t="s">
        <v>167</v>
      </c>
      <c r="J18" t="s">
        <v>168</v>
      </c>
      <c r="K18" t="s">
        <v>169</v>
      </c>
      <c r="L18" t="s">
        <v>170</v>
      </c>
      <c r="M18" t="s">
        <v>171</v>
      </c>
      <c r="N18" t="s">
        <v>172</v>
      </c>
    </row>
    <row r="19" spans="1:14" x14ac:dyDescent="0.2">
      <c r="A19" t="s">
        <v>174</v>
      </c>
      <c r="B19" t="s">
        <v>175</v>
      </c>
      <c r="C19" t="s">
        <v>176</v>
      </c>
      <c r="D19" t="s">
        <v>177</v>
      </c>
      <c r="E19" t="s">
        <v>69</v>
      </c>
      <c r="F19" s="1">
        <f t="shared" si="0"/>
        <v>7</v>
      </c>
      <c r="G19" t="s">
        <v>16</v>
      </c>
      <c r="H19" t="s">
        <v>17</v>
      </c>
      <c r="I19" t="s">
        <v>69</v>
      </c>
      <c r="J19" t="s">
        <v>18</v>
      </c>
      <c r="K19" t="s">
        <v>178</v>
      </c>
      <c r="L19" t="s">
        <v>179</v>
      </c>
      <c r="M19" t="s">
        <v>44</v>
      </c>
      <c r="N19" t="s">
        <v>18</v>
      </c>
    </row>
    <row r="20" spans="1:14" x14ac:dyDescent="0.2">
      <c r="A20" t="s">
        <v>180</v>
      </c>
      <c r="B20" t="s">
        <v>181</v>
      </c>
      <c r="C20" t="s">
        <v>21</v>
      </c>
      <c r="D20" t="s">
        <v>39</v>
      </c>
      <c r="E20" t="s">
        <v>51</v>
      </c>
      <c r="F20" s="1">
        <f t="shared" si="0"/>
        <v>7</v>
      </c>
      <c r="G20" t="s">
        <v>24</v>
      </c>
      <c r="H20" t="s">
        <v>25</v>
      </c>
      <c r="I20" t="s">
        <v>103</v>
      </c>
      <c r="J20" t="s">
        <v>182</v>
      </c>
      <c r="K20" t="s">
        <v>183</v>
      </c>
      <c r="L20" t="s">
        <v>184</v>
      </c>
      <c r="M20" t="s">
        <v>18</v>
      </c>
      <c r="N20" t="s">
        <v>124</v>
      </c>
    </row>
    <row r="21" spans="1:14" x14ac:dyDescent="0.2">
      <c r="A21" t="s">
        <v>185</v>
      </c>
      <c r="B21" t="s">
        <v>186</v>
      </c>
      <c r="C21" t="s">
        <v>101</v>
      </c>
      <c r="D21" t="s">
        <v>187</v>
      </c>
      <c r="E21" t="s">
        <v>188</v>
      </c>
      <c r="F21" s="1">
        <f t="shared" si="0"/>
        <v>7</v>
      </c>
      <c r="G21" t="s">
        <v>16</v>
      </c>
      <c r="H21" t="s">
        <v>25</v>
      </c>
      <c r="I21" t="s">
        <v>188</v>
      </c>
      <c r="J21" t="s">
        <v>18</v>
      </c>
      <c r="K21" t="s">
        <v>189</v>
      </c>
      <c r="L21" t="s">
        <v>190</v>
      </c>
      <c r="M21" t="s">
        <v>191</v>
      </c>
      <c r="N21" t="s">
        <v>18</v>
      </c>
    </row>
    <row r="22" spans="1:14" x14ac:dyDescent="0.2">
      <c r="A22" t="s">
        <v>192</v>
      </c>
      <c r="B22" t="s">
        <v>193</v>
      </c>
      <c r="C22" t="s">
        <v>101</v>
      </c>
      <c r="D22" t="s">
        <v>194</v>
      </c>
      <c r="E22" t="s">
        <v>195</v>
      </c>
      <c r="F22" s="1">
        <f t="shared" si="0"/>
        <v>7</v>
      </c>
      <c r="G22" t="s">
        <v>24</v>
      </c>
      <c r="H22" t="s">
        <v>25</v>
      </c>
      <c r="I22" t="s">
        <v>195</v>
      </c>
      <c r="J22" t="s">
        <v>196</v>
      </c>
      <c r="K22" t="s">
        <v>197</v>
      </c>
      <c r="L22" t="s">
        <v>198</v>
      </c>
      <c r="M22" t="s">
        <v>18</v>
      </c>
      <c r="N22" t="s">
        <v>55</v>
      </c>
    </row>
    <row r="23" spans="1:14" x14ac:dyDescent="0.2">
      <c r="A23" t="s">
        <v>200</v>
      </c>
      <c r="B23" t="s">
        <v>201</v>
      </c>
      <c r="C23" t="s">
        <v>21</v>
      </c>
      <c r="D23" t="s">
        <v>50</v>
      </c>
      <c r="E23" t="s">
        <v>156</v>
      </c>
      <c r="F23" s="1">
        <f t="shared" si="0"/>
        <v>7</v>
      </c>
      <c r="G23" t="s">
        <v>24</v>
      </c>
      <c r="H23" t="s">
        <v>17</v>
      </c>
      <c r="I23" t="s">
        <v>59</v>
      </c>
      <c r="J23" t="s">
        <v>202</v>
      </c>
      <c r="K23" t="s">
        <v>203</v>
      </c>
      <c r="L23" t="s">
        <v>204</v>
      </c>
      <c r="M23" t="s">
        <v>18</v>
      </c>
      <c r="N23" t="s">
        <v>205</v>
      </c>
    </row>
    <row r="24" spans="1:14" x14ac:dyDescent="0.2">
      <c r="A24" t="s">
        <v>206</v>
      </c>
      <c r="B24" t="s">
        <v>207</v>
      </c>
      <c r="C24" t="s">
        <v>173</v>
      </c>
      <c r="D24" t="s">
        <v>208</v>
      </c>
      <c r="E24" t="s">
        <v>209</v>
      </c>
      <c r="F24" s="1">
        <f t="shared" si="0"/>
        <v>7</v>
      </c>
      <c r="G24" t="s">
        <v>16</v>
      </c>
      <c r="H24" t="s">
        <v>25</v>
      </c>
      <c r="I24" t="s">
        <v>209</v>
      </c>
      <c r="J24" t="s">
        <v>18</v>
      </c>
      <c r="K24" t="s">
        <v>210</v>
      </c>
      <c r="L24" t="s">
        <v>211</v>
      </c>
      <c r="M24" t="s">
        <v>212</v>
      </c>
      <c r="N24" t="s">
        <v>18</v>
      </c>
    </row>
    <row r="25" spans="1:14" x14ac:dyDescent="0.2">
      <c r="A25" t="s">
        <v>213</v>
      </c>
      <c r="B25" t="s">
        <v>214</v>
      </c>
      <c r="C25" t="s">
        <v>173</v>
      </c>
      <c r="D25" t="s">
        <v>215</v>
      </c>
      <c r="E25" t="s">
        <v>209</v>
      </c>
      <c r="F25" s="1">
        <f t="shared" si="0"/>
        <v>7</v>
      </c>
      <c r="G25" t="s">
        <v>16</v>
      </c>
      <c r="H25" t="s">
        <v>17</v>
      </c>
      <c r="I25" t="s">
        <v>209</v>
      </c>
      <c r="J25" t="s">
        <v>18</v>
      </c>
      <c r="K25" t="s">
        <v>216</v>
      </c>
      <c r="L25" t="s">
        <v>217</v>
      </c>
      <c r="M25" t="s">
        <v>218</v>
      </c>
      <c r="N25" t="s">
        <v>18</v>
      </c>
    </row>
    <row r="26" spans="1:14" x14ac:dyDescent="0.2">
      <c r="A26" t="s">
        <v>219</v>
      </c>
      <c r="B26" t="s">
        <v>220</v>
      </c>
      <c r="C26" t="s">
        <v>42</v>
      </c>
      <c r="D26" t="s">
        <v>221</v>
      </c>
      <c r="E26" t="s">
        <v>222</v>
      </c>
      <c r="F26" s="1">
        <f t="shared" si="0"/>
        <v>7</v>
      </c>
      <c r="G26" t="s">
        <v>16</v>
      </c>
      <c r="H26" t="s">
        <v>17</v>
      </c>
      <c r="I26" t="s">
        <v>223</v>
      </c>
      <c r="J26" t="s">
        <v>224</v>
      </c>
      <c r="K26" t="s">
        <v>225</v>
      </c>
      <c r="L26" t="s">
        <v>226</v>
      </c>
      <c r="M26" t="s">
        <v>18</v>
      </c>
      <c r="N26" t="s">
        <v>227</v>
      </c>
    </row>
    <row r="27" spans="1:14" x14ac:dyDescent="0.2">
      <c r="A27" t="s">
        <v>229</v>
      </c>
      <c r="B27" t="s">
        <v>230</v>
      </c>
      <c r="C27" t="s">
        <v>21</v>
      </c>
      <c r="D27" t="s">
        <v>32</v>
      </c>
      <c r="E27" t="s">
        <v>69</v>
      </c>
      <c r="F27" s="1">
        <f t="shared" si="0"/>
        <v>7</v>
      </c>
      <c r="G27" t="s">
        <v>16</v>
      </c>
      <c r="H27" t="s">
        <v>25</v>
      </c>
      <c r="I27" t="s">
        <v>69</v>
      </c>
      <c r="J27" t="s">
        <v>231</v>
      </c>
      <c r="K27" t="s">
        <v>232</v>
      </c>
      <c r="L27" t="s">
        <v>233</v>
      </c>
      <c r="M27" t="s">
        <v>18</v>
      </c>
      <c r="N27" t="s">
        <v>81</v>
      </c>
    </row>
    <row r="28" spans="1:14" x14ac:dyDescent="0.2">
      <c r="A28" t="s">
        <v>235</v>
      </c>
      <c r="B28" t="s">
        <v>236</v>
      </c>
      <c r="C28" t="s">
        <v>173</v>
      </c>
      <c r="D28" t="s">
        <v>237</v>
      </c>
      <c r="E28" t="s">
        <v>222</v>
      </c>
      <c r="F28" s="1">
        <f t="shared" si="0"/>
        <v>7</v>
      </c>
      <c r="G28" t="s">
        <v>16</v>
      </c>
      <c r="H28" t="s">
        <v>17</v>
      </c>
      <c r="I28" t="s">
        <v>222</v>
      </c>
      <c r="J28" t="s">
        <v>18</v>
      </c>
      <c r="K28" t="s">
        <v>238</v>
      </c>
      <c r="L28" t="s">
        <v>239</v>
      </c>
      <c r="M28" t="s">
        <v>240</v>
      </c>
      <c r="N28" t="s">
        <v>18</v>
      </c>
    </row>
    <row r="29" spans="1:14" x14ac:dyDescent="0.2">
      <c r="A29" t="s">
        <v>241</v>
      </c>
      <c r="B29" t="s">
        <v>242</v>
      </c>
      <c r="C29" t="s">
        <v>21</v>
      </c>
      <c r="D29" t="s">
        <v>155</v>
      </c>
      <c r="E29" t="s">
        <v>33</v>
      </c>
      <c r="F29" s="1">
        <f t="shared" si="0"/>
        <v>7</v>
      </c>
      <c r="G29" t="s">
        <v>16</v>
      </c>
      <c r="H29" t="s">
        <v>25</v>
      </c>
      <c r="I29" t="s">
        <v>33</v>
      </c>
      <c r="J29" t="s">
        <v>243</v>
      </c>
      <c r="K29" t="s">
        <v>244</v>
      </c>
      <c r="L29" t="s">
        <v>245</v>
      </c>
      <c r="M29" t="s">
        <v>18</v>
      </c>
      <c r="N29" t="s">
        <v>81</v>
      </c>
    </row>
    <row r="30" spans="1:14" x14ac:dyDescent="0.2">
      <c r="A30" t="s">
        <v>247</v>
      </c>
      <c r="B30" t="s">
        <v>248</v>
      </c>
      <c r="C30" t="s">
        <v>13</v>
      </c>
      <c r="D30" t="s">
        <v>237</v>
      </c>
      <c r="E30" t="s">
        <v>249</v>
      </c>
      <c r="F30" s="1">
        <f t="shared" si="0"/>
        <v>7</v>
      </c>
      <c r="G30" t="s">
        <v>16</v>
      </c>
      <c r="H30" t="s">
        <v>17</v>
      </c>
      <c r="I30" t="s">
        <v>23</v>
      </c>
      <c r="J30" t="s">
        <v>250</v>
      </c>
      <c r="K30" t="s">
        <v>251</v>
      </c>
      <c r="L30" t="s">
        <v>252</v>
      </c>
      <c r="M30" t="s">
        <v>171</v>
      </c>
      <c r="N30" t="s">
        <v>253</v>
      </c>
    </row>
    <row r="31" spans="1:14" x14ac:dyDescent="0.2">
      <c r="A31" t="s">
        <v>254</v>
      </c>
      <c r="B31" t="s">
        <v>255</v>
      </c>
      <c r="C31" t="s">
        <v>101</v>
      </c>
      <c r="D31" t="s">
        <v>45</v>
      </c>
      <c r="E31" t="s">
        <v>33</v>
      </c>
      <c r="F31" s="1">
        <f t="shared" si="0"/>
        <v>7</v>
      </c>
      <c r="G31" t="s">
        <v>256</v>
      </c>
      <c r="H31" t="s">
        <v>25</v>
      </c>
      <c r="I31" t="s">
        <v>33</v>
      </c>
      <c r="J31" t="s">
        <v>18</v>
      </c>
      <c r="K31" t="s">
        <v>257</v>
      </c>
      <c r="L31" t="s">
        <v>258</v>
      </c>
      <c r="M31" t="s">
        <v>259</v>
      </c>
      <c r="N31" t="s">
        <v>18</v>
      </c>
    </row>
    <row r="32" spans="1:14" x14ac:dyDescent="0.2">
      <c r="A32" t="s">
        <v>260</v>
      </c>
      <c r="B32" t="s">
        <v>261</v>
      </c>
      <c r="C32" t="s">
        <v>21</v>
      </c>
      <c r="D32" t="s">
        <v>50</v>
      </c>
      <c r="E32" t="s">
        <v>156</v>
      </c>
      <c r="F32" s="1">
        <f t="shared" si="0"/>
        <v>7</v>
      </c>
      <c r="G32" t="s">
        <v>24</v>
      </c>
      <c r="H32" t="s">
        <v>17</v>
      </c>
      <c r="I32" t="s">
        <v>59</v>
      </c>
      <c r="J32" t="s">
        <v>262</v>
      </c>
      <c r="K32" t="s">
        <v>263</v>
      </c>
      <c r="L32" t="s">
        <v>264</v>
      </c>
      <c r="M32" t="s">
        <v>18</v>
      </c>
      <c r="N32" t="s">
        <v>265</v>
      </c>
    </row>
    <row r="33" spans="1:14" x14ac:dyDescent="0.2">
      <c r="A33" t="s">
        <v>267</v>
      </c>
      <c r="B33" t="s">
        <v>268</v>
      </c>
      <c r="C33" t="s">
        <v>21</v>
      </c>
      <c r="D33" t="s">
        <v>39</v>
      </c>
      <c r="E33" t="s">
        <v>51</v>
      </c>
      <c r="F33" s="1">
        <f t="shared" si="0"/>
        <v>7</v>
      </c>
      <c r="G33" t="s">
        <v>269</v>
      </c>
      <c r="H33" t="s">
        <v>25</v>
      </c>
      <c r="I33" t="s">
        <v>127</v>
      </c>
      <c r="J33" t="s">
        <v>270</v>
      </c>
      <c r="K33" t="s">
        <v>271</v>
      </c>
      <c r="L33" t="s">
        <v>246</v>
      </c>
      <c r="M33" t="s">
        <v>18</v>
      </c>
      <c r="N33" t="s">
        <v>272</v>
      </c>
    </row>
    <row r="34" spans="1:14" x14ac:dyDescent="0.2">
      <c r="A34" t="s">
        <v>273</v>
      </c>
      <c r="B34" t="s">
        <v>274</v>
      </c>
      <c r="C34" t="s">
        <v>173</v>
      </c>
      <c r="D34" t="s">
        <v>215</v>
      </c>
      <c r="E34" t="s">
        <v>195</v>
      </c>
      <c r="F34" s="1">
        <f t="shared" si="0"/>
        <v>7</v>
      </c>
      <c r="G34" t="s">
        <v>16</v>
      </c>
      <c r="H34" t="s">
        <v>17</v>
      </c>
      <c r="I34" t="s">
        <v>195</v>
      </c>
      <c r="J34" t="s">
        <v>18</v>
      </c>
      <c r="K34" t="s">
        <v>275</v>
      </c>
      <c r="L34" t="s">
        <v>276</v>
      </c>
      <c r="M34" t="s">
        <v>277</v>
      </c>
      <c r="N34" t="s">
        <v>18</v>
      </c>
    </row>
    <row r="35" spans="1:14" x14ac:dyDescent="0.2">
      <c r="A35" t="s">
        <v>280</v>
      </c>
      <c r="B35" t="s">
        <v>281</v>
      </c>
      <c r="C35" t="s">
        <v>13</v>
      </c>
      <c r="D35" t="s">
        <v>43</v>
      </c>
      <c r="E35" t="s">
        <v>135</v>
      </c>
      <c r="F35" s="1">
        <f t="shared" si="0"/>
        <v>7</v>
      </c>
      <c r="G35" t="s">
        <v>16</v>
      </c>
      <c r="H35" t="s">
        <v>17</v>
      </c>
      <c r="I35" t="s">
        <v>135</v>
      </c>
      <c r="J35" t="s">
        <v>282</v>
      </c>
      <c r="K35" t="s">
        <v>283</v>
      </c>
      <c r="L35" t="s">
        <v>284</v>
      </c>
      <c r="M35" t="s">
        <v>259</v>
      </c>
      <c r="N35" t="s">
        <v>285</v>
      </c>
    </row>
    <row r="36" spans="1:14" x14ac:dyDescent="0.2">
      <c r="A36" t="s">
        <v>287</v>
      </c>
      <c r="B36" t="s">
        <v>288</v>
      </c>
      <c r="C36" t="s">
        <v>21</v>
      </c>
      <c r="D36" t="s">
        <v>289</v>
      </c>
      <c r="E36" t="s">
        <v>69</v>
      </c>
      <c r="F36" s="1">
        <f t="shared" si="0"/>
        <v>7</v>
      </c>
      <c r="G36" t="s">
        <v>16</v>
      </c>
      <c r="H36" t="s">
        <v>25</v>
      </c>
      <c r="I36" t="s">
        <v>290</v>
      </c>
      <c r="J36" t="s">
        <v>291</v>
      </c>
      <c r="K36" t="s">
        <v>292</v>
      </c>
      <c r="L36" t="s">
        <v>73</v>
      </c>
      <c r="M36" t="s">
        <v>18</v>
      </c>
      <c r="N36" t="s">
        <v>293</v>
      </c>
    </row>
    <row r="37" spans="1:14" x14ac:dyDescent="0.2">
      <c r="A37" t="s">
        <v>294</v>
      </c>
      <c r="B37" t="s">
        <v>295</v>
      </c>
      <c r="C37" t="s">
        <v>13</v>
      </c>
      <c r="D37" t="s">
        <v>296</v>
      </c>
      <c r="E37" t="s">
        <v>209</v>
      </c>
      <c r="F37" s="1">
        <f t="shared" si="0"/>
        <v>7</v>
      </c>
      <c r="G37" t="s">
        <v>16</v>
      </c>
      <c r="H37" t="s">
        <v>25</v>
      </c>
      <c r="I37" t="s">
        <v>209</v>
      </c>
      <c r="J37" t="s">
        <v>18</v>
      </c>
      <c r="K37" t="s">
        <v>297</v>
      </c>
      <c r="L37" t="s">
        <v>298</v>
      </c>
      <c r="M37" t="s">
        <v>212</v>
      </c>
      <c r="N37" t="s">
        <v>18</v>
      </c>
    </row>
    <row r="38" spans="1:14" x14ac:dyDescent="0.2">
      <c r="A38" t="s">
        <v>299</v>
      </c>
      <c r="B38" t="s">
        <v>300</v>
      </c>
      <c r="C38" t="s">
        <v>21</v>
      </c>
      <c r="D38" t="s">
        <v>39</v>
      </c>
      <c r="E38" t="s">
        <v>167</v>
      </c>
      <c r="F38" s="1">
        <f t="shared" si="0"/>
        <v>7</v>
      </c>
      <c r="G38" t="s">
        <v>16</v>
      </c>
      <c r="H38" t="s">
        <v>25</v>
      </c>
      <c r="I38" t="s">
        <v>34</v>
      </c>
      <c r="J38" t="s">
        <v>301</v>
      </c>
      <c r="K38" t="s">
        <v>302</v>
      </c>
      <c r="L38" t="s">
        <v>303</v>
      </c>
      <c r="M38" t="s">
        <v>18</v>
      </c>
      <c r="N38" t="s">
        <v>304</v>
      </c>
    </row>
    <row r="39" spans="1:14" x14ac:dyDescent="0.2">
      <c r="A39" t="s">
        <v>305</v>
      </c>
      <c r="B39" t="s">
        <v>306</v>
      </c>
      <c r="C39" t="s">
        <v>21</v>
      </c>
      <c r="D39" t="s">
        <v>50</v>
      </c>
      <c r="E39" t="s">
        <v>120</v>
      </c>
      <c r="F39" s="1">
        <f t="shared" si="0"/>
        <v>7</v>
      </c>
      <c r="G39" t="s">
        <v>24</v>
      </c>
      <c r="H39" t="s">
        <v>25</v>
      </c>
      <c r="I39" t="s">
        <v>120</v>
      </c>
      <c r="J39" t="s">
        <v>307</v>
      </c>
      <c r="K39" t="s">
        <v>308</v>
      </c>
      <c r="L39" t="s">
        <v>160</v>
      </c>
      <c r="M39" t="s">
        <v>18</v>
      </c>
      <c r="N39" t="s">
        <v>81</v>
      </c>
    </row>
    <row r="40" spans="1:14" x14ac:dyDescent="0.2">
      <c r="A40" t="s">
        <v>310</v>
      </c>
      <c r="B40" t="s">
        <v>311</v>
      </c>
      <c r="C40" t="s">
        <v>173</v>
      </c>
      <c r="D40" t="s">
        <v>312</v>
      </c>
      <c r="E40" t="s">
        <v>59</v>
      </c>
      <c r="F40" s="1">
        <f t="shared" si="0"/>
        <v>7</v>
      </c>
      <c r="G40" t="s">
        <v>16</v>
      </c>
      <c r="H40" t="s">
        <v>25</v>
      </c>
      <c r="I40" t="s">
        <v>59</v>
      </c>
      <c r="J40" t="s">
        <v>18</v>
      </c>
      <c r="K40" t="s">
        <v>313</v>
      </c>
      <c r="L40" t="s">
        <v>314</v>
      </c>
      <c r="M40" t="s">
        <v>55</v>
      </c>
      <c r="N40" t="s">
        <v>18</v>
      </c>
    </row>
    <row r="41" spans="1:14" x14ac:dyDescent="0.2">
      <c r="A41" t="s">
        <v>315</v>
      </c>
      <c r="B41" t="s">
        <v>316</v>
      </c>
      <c r="C41" t="s">
        <v>21</v>
      </c>
      <c r="D41" t="s">
        <v>155</v>
      </c>
      <c r="E41" t="s">
        <v>26</v>
      </c>
      <c r="F41" s="1">
        <f t="shared" si="0"/>
        <v>7</v>
      </c>
      <c r="G41" t="s">
        <v>24</v>
      </c>
      <c r="H41" t="s">
        <v>25</v>
      </c>
      <c r="I41" t="s">
        <v>26</v>
      </c>
      <c r="J41" t="s">
        <v>317</v>
      </c>
      <c r="K41" t="s">
        <v>318</v>
      </c>
      <c r="L41" t="s">
        <v>319</v>
      </c>
      <c r="M41" t="s">
        <v>18</v>
      </c>
      <c r="N41" t="s">
        <v>320</v>
      </c>
    </row>
    <row r="42" spans="1:14" x14ac:dyDescent="0.2">
      <c r="A42" t="s">
        <v>323</v>
      </c>
      <c r="B42" t="s">
        <v>324</v>
      </c>
      <c r="C42" t="s">
        <v>101</v>
      </c>
      <c r="D42" t="s">
        <v>325</v>
      </c>
      <c r="E42" t="s">
        <v>135</v>
      </c>
      <c r="F42" s="1">
        <f t="shared" ref="F42:F78" si="1">MONTH(E42)</f>
        <v>7</v>
      </c>
      <c r="G42" t="s">
        <v>16</v>
      </c>
      <c r="H42" t="s">
        <v>17</v>
      </c>
      <c r="I42" t="s">
        <v>326</v>
      </c>
      <c r="J42" t="s">
        <v>327</v>
      </c>
      <c r="K42" t="s">
        <v>328</v>
      </c>
      <c r="L42" t="s">
        <v>329</v>
      </c>
      <c r="M42" t="s">
        <v>18</v>
      </c>
      <c r="N42" t="s">
        <v>41</v>
      </c>
    </row>
    <row r="43" spans="1:14" x14ac:dyDescent="0.2">
      <c r="A43" t="s">
        <v>330</v>
      </c>
      <c r="B43" t="s">
        <v>331</v>
      </c>
      <c r="C43" t="s">
        <v>21</v>
      </c>
      <c r="D43" t="s">
        <v>22</v>
      </c>
      <c r="E43" t="s">
        <v>33</v>
      </c>
      <c r="F43" s="1">
        <f t="shared" si="1"/>
        <v>7</v>
      </c>
      <c r="G43" t="s">
        <v>16</v>
      </c>
      <c r="H43" t="s">
        <v>17</v>
      </c>
      <c r="I43" t="s">
        <v>332</v>
      </c>
      <c r="J43" t="s">
        <v>333</v>
      </c>
      <c r="K43" t="s">
        <v>334</v>
      </c>
      <c r="L43" t="s">
        <v>335</v>
      </c>
      <c r="M43" t="s">
        <v>18</v>
      </c>
      <c r="N43" t="s">
        <v>336</v>
      </c>
    </row>
    <row r="44" spans="1:14" x14ac:dyDescent="0.2">
      <c r="A44" t="s">
        <v>340</v>
      </c>
      <c r="B44" t="s">
        <v>341</v>
      </c>
      <c r="C44" t="s">
        <v>21</v>
      </c>
      <c r="D44" t="s">
        <v>342</v>
      </c>
      <c r="E44" t="s">
        <v>23</v>
      </c>
      <c r="F44" s="1">
        <f t="shared" si="1"/>
        <v>7</v>
      </c>
      <c r="G44" t="s">
        <v>24</v>
      </c>
      <c r="H44" t="s">
        <v>25</v>
      </c>
      <c r="I44" t="s">
        <v>59</v>
      </c>
      <c r="J44" t="s">
        <v>343</v>
      </c>
      <c r="K44" t="s">
        <v>344</v>
      </c>
      <c r="L44" t="s">
        <v>345</v>
      </c>
      <c r="M44" t="s">
        <v>18</v>
      </c>
      <c r="N44" t="s">
        <v>346</v>
      </c>
    </row>
    <row r="45" spans="1:14" x14ac:dyDescent="0.2">
      <c r="A45" t="s">
        <v>347</v>
      </c>
      <c r="B45" t="s">
        <v>348</v>
      </c>
      <c r="C45" t="s">
        <v>42</v>
      </c>
      <c r="D45" t="s">
        <v>349</v>
      </c>
      <c r="E45" t="s">
        <v>167</v>
      </c>
      <c r="F45" s="1">
        <f t="shared" si="1"/>
        <v>7</v>
      </c>
      <c r="G45" t="s">
        <v>16</v>
      </c>
      <c r="H45" t="s">
        <v>25</v>
      </c>
      <c r="I45" t="s">
        <v>195</v>
      </c>
      <c r="J45" t="s">
        <v>350</v>
      </c>
      <c r="K45" t="s">
        <v>351</v>
      </c>
      <c r="L45" t="s">
        <v>352</v>
      </c>
      <c r="M45" t="s">
        <v>18</v>
      </c>
      <c r="N45" t="s">
        <v>353</v>
      </c>
    </row>
    <row r="46" spans="1:14" x14ac:dyDescent="0.2">
      <c r="A46" t="s">
        <v>354</v>
      </c>
      <c r="B46" t="s">
        <v>355</v>
      </c>
      <c r="C46" t="s">
        <v>101</v>
      </c>
      <c r="D46" t="s">
        <v>237</v>
      </c>
      <c r="E46" t="s">
        <v>167</v>
      </c>
      <c r="F46" s="1">
        <f t="shared" si="1"/>
        <v>7</v>
      </c>
      <c r="G46" t="s">
        <v>16</v>
      </c>
      <c r="H46" t="s">
        <v>17</v>
      </c>
      <c r="I46" t="s">
        <v>167</v>
      </c>
      <c r="J46" t="s">
        <v>356</v>
      </c>
      <c r="K46" t="s">
        <v>357</v>
      </c>
      <c r="L46" t="s">
        <v>358</v>
      </c>
      <c r="M46" t="s">
        <v>259</v>
      </c>
      <c r="N46" t="s">
        <v>285</v>
      </c>
    </row>
    <row r="47" spans="1:14" x14ac:dyDescent="0.2">
      <c r="A47" t="s">
        <v>359</v>
      </c>
      <c r="B47" t="s">
        <v>360</v>
      </c>
      <c r="C47" t="s">
        <v>173</v>
      </c>
      <c r="D47" t="s">
        <v>86</v>
      </c>
      <c r="E47" t="s">
        <v>51</v>
      </c>
      <c r="F47" s="1">
        <f t="shared" si="1"/>
        <v>7</v>
      </c>
      <c r="G47" t="s">
        <v>16</v>
      </c>
      <c r="H47" t="s">
        <v>25</v>
      </c>
      <c r="I47" t="s">
        <v>46</v>
      </c>
      <c r="J47" t="s">
        <v>361</v>
      </c>
      <c r="K47" t="s">
        <v>362</v>
      </c>
      <c r="L47" t="s">
        <v>363</v>
      </c>
      <c r="M47" t="s">
        <v>18</v>
      </c>
      <c r="N47" t="s">
        <v>364</v>
      </c>
    </row>
    <row r="48" spans="1:14" x14ac:dyDescent="0.2">
      <c r="A48" t="s">
        <v>367</v>
      </c>
      <c r="B48" t="s">
        <v>368</v>
      </c>
      <c r="C48" t="s">
        <v>21</v>
      </c>
      <c r="D48" t="s">
        <v>342</v>
      </c>
      <c r="E48" t="s">
        <v>222</v>
      </c>
      <c r="F48" s="1">
        <f t="shared" si="1"/>
        <v>7</v>
      </c>
      <c r="G48" t="s">
        <v>24</v>
      </c>
      <c r="H48" t="s">
        <v>17</v>
      </c>
      <c r="I48" t="s">
        <v>223</v>
      </c>
      <c r="J48" t="s">
        <v>369</v>
      </c>
      <c r="K48" t="s">
        <v>370</v>
      </c>
      <c r="L48" t="s">
        <v>371</v>
      </c>
      <c r="M48" t="s">
        <v>18</v>
      </c>
      <c r="N48" t="s">
        <v>107</v>
      </c>
    </row>
    <row r="49" spans="1:14" x14ac:dyDescent="0.2">
      <c r="A49" t="s">
        <v>372</v>
      </c>
      <c r="B49" t="s">
        <v>373</v>
      </c>
      <c r="C49" t="s">
        <v>101</v>
      </c>
      <c r="D49" t="s">
        <v>194</v>
      </c>
      <c r="E49" t="s">
        <v>23</v>
      </c>
      <c r="F49" s="1">
        <f t="shared" si="1"/>
        <v>7</v>
      </c>
      <c r="G49" t="s">
        <v>24</v>
      </c>
      <c r="H49" t="s">
        <v>25</v>
      </c>
      <c r="I49" t="s">
        <v>26</v>
      </c>
      <c r="J49" t="s">
        <v>374</v>
      </c>
      <c r="K49" t="s">
        <v>375</v>
      </c>
      <c r="L49" t="s">
        <v>319</v>
      </c>
      <c r="M49" t="s">
        <v>18</v>
      </c>
      <c r="N49" t="s">
        <v>139</v>
      </c>
    </row>
    <row r="50" spans="1:14" x14ac:dyDescent="0.2">
      <c r="A50" t="s">
        <v>377</v>
      </c>
      <c r="B50" t="s">
        <v>378</v>
      </c>
      <c r="C50" t="s">
        <v>21</v>
      </c>
      <c r="D50" t="s">
        <v>39</v>
      </c>
      <c r="E50" t="s">
        <v>51</v>
      </c>
      <c r="F50" s="1">
        <f t="shared" si="1"/>
        <v>7</v>
      </c>
      <c r="G50" t="s">
        <v>16</v>
      </c>
      <c r="H50" t="s">
        <v>25</v>
      </c>
      <c r="I50" t="s">
        <v>103</v>
      </c>
      <c r="J50" t="s">
        <v>379</v>
      </c>
      <c r="K50" t="s">
        <v>380</v>
      </c>
      <c r="L50" t="s">
        <v>381</v>
      </c>
      <c r="M50" t="s">
        <v>18</v>
      </c>
      <c r="N50" t="s">
        <v>109</v>
      </c>
    </row>
    <row r="51" spans="1:14" x14ac:dyDescent="0.2">
      <c r="A51" t="s">
        <v>382</v>
      </c>
      <c r="B51" t="s">
        <v>383</v>
      </c>
      <c r="C51" t="s">
        <v>42</v>
      </c>
      <c r="D51" t="s">
        <v>215</v>
      </c>
      <c r="E51" t="s">
        <v>120</v>
      </c>
      <c r="F51" s="1">
        <f t="shared" si="1"/>
        <v>7</v>
      </c>
      <c r="G51" t="s">
        <v>16</v>
      </c>
      <c r="H51" t="s">
        <v>17</v>
      </c>
      <c r="I51" t="s">
        <v>120</v>
      </c>
      <c r="J51" t="s">
        <v>18</v>
      </c>
      <c r="K51" t="s">
        <v>384</v>
      </c>
      <c r="L51" t="s">
        <v>385</v>
      </c>
      <c r="M51" t="s">
        <v>386</v>
      </c>
      <c r="N51" t="s">
        <v>18</v>
      </c>
    </row>
    <row r="52" spans="1:14" x14ac:dyDescent="0.2">
      <c r="A52" t="s">
        <v>387</v>
      </c>
      <c r="B52" t="s">
        <v>388</v>
      </c>
      <c r="C52" t="s">
        <v>42</v>
      </c>
      <c r="D52" t="s">
        <v>149</v>
      </c>
      <c r="E52" t="s">
        <v>59</v>
      </c>
      <c r="F52" s="1">
        <f t="shared" si="1"/>
        <v>7</v>
      </c>
      <c r="G52" t="s">
        <v>16</v>
      </c>
      <c r="H52" t="s">
        <v>17</v>
      </c>
      <c r="I52" t="s">
        <v>163</v>
      </c>
      <c r="J52" t="s">
        <v>389</v>
      </c>
      <c r="K52" t="s">
        <v>390</v>
      </c>
      <c r="L52" t="s">
        <v>391</v>
      </c>
      <c r="M52" t="s">
        <v>18</v>
      </c>
      <c r="N52" t="s">
        <v>392</v>
      </c>
    </row>
    <row r="53" spans="1:14" x14ac:dyDescent="0.2">
      <c r="A53" t="s">
        <v>393</v>
      </c>
      <c r="B53" t="s">
        <v>394</v>
      </c>
      <c r="C53" t="s">
        <v>21</v>
      </c>
      <c r="D53" t="s">
        <v>77</v>
      </c>
      <c r="E53" t="s">
        <v>157</v>
      </c>
      <c r="F53" s="1">
        <f t="shared" si="1"/>
        <v>7</v>
      </c>
      <c r="G53" t="s">
        <v>395</v>
      </c>
      <c r="H53" t="s">
        <v>60</v>
      </c>
      <c r="I53" t="s">
        <v>157</v>
      </c>
      <c r="J53" t="s">
        <v>396</v>
      </c>
      <c r="K53" t="s">
        <v>18</v>
      </c>
      <c r="L53" t="s">
        <v>397</v>
      </c>
      <c r="M53" t="s">
        <v>18</v>
      </c>
      <c r="N53" t="s">
        <v>18</v>
      </c>
    </row>
    <row r="54" spans="1:14" x14ac:dyDescent="0.2">
      <c r="A54" t="s">
        <v>398</v>
      </c>
      <c r="B54" t="s">
        <v>399</v>
      </c>
      <c r="C54" t="s">
        <v>21</v>
      </c>
      <c r="D54" t="s">
        <v>50</v>
      </c>
      <c r="E54" t="s">
        <v>188</v>
      </c>
      <c r="F54" s="1">
        <f t="shared" si="1"/>
        <v>7</v>
      </c>
      <c r="G54" t="s">
        <v>16</v>
      </c>
      <c r="H54" t="s">
        <v>17</v>
      </c>
      <c r="I54" t="s">
        <v>51</v>
      </c>
      <c r="J54" t="s">
        <v>400</v>
      </c>
      <c r="K54" t="s">
        <v>401</v>
      </c>
      <c r="L54" t="s">
        <v>402</v>
      </c>
      <c r="M54" t="s">
        <v>18</v>
      </c>
      <c r="N54" t="s">
        <v>403</v>
      </c>
    </row>
    <row r="55" spans="1:14" x14ac:dyDescent="0.2">
      <c r="A55" t="s">
        <v>404</v>
      </c>
      <c r="B55" t="s">
        <v>405</v>
      </c>
      <c r="C55" t="s">
        <v>173</v>
      </c>
      <c r="D55" t="s">
        <v>228</v>
      </c>
      <c r="E55" t="s">
        <v>26</v>
      </c>
      <c r="F55" s="1">
        <f t="shared" si="1"/>
        <v>7</v>
      </c>
      <c r="G55" t="s">
        <v>406</v>
      </c>
      <c r="H55" t="s">
        <v>25</v>
      </c>
      <c r="I55" t="s">
        <v>26</v>
      </c>
      <c r="J55" t="s">
        <v>18</v>
      </c>
      <c r="K55" t="s">
        <v>407</v>
      </c>
      <c r="L55" t="s">
        <v>408</v>
      </c>
      <c r="M55" t="s">
        <v>286</v>
      </c>
      <c r="N55" t="s">
        <v>18</v>
      </c>
    </row>
    <row r="56" spans="1:14" x14ac:dyDescent="0.2">
      <c r="A56" t="s">
        <v>409</v>
      </c>
      <c r="B56" t="s">
        <v>410</v>
      </c>
      <c r="C56" t="s">
        <v>173</v>
      </c>
      <c r="D56" t="s">
        <v>45</v>
      </c>
      <c r="E56" t="s">
        <v>222</v>
      </c>
      <c r="F56" s="1">
        <f t="shared" si="1"/>
        <v>7</v>
      </c>
      <c r="G56" t="s">
        <v>16</v>
      </c>
      <c r="H56" t="s">
        <v>25</v>
      </c>
      <c r="I56" t="s">
        <v>222</v>
      </c>
      <c r="J56" t="s">
        <v>18</v>
      </c>
      <c r="K56" t="s">
        <v>411</v>
      </c>
      <c r="L56" t="s">
        <v>412</v>
      </c>
      <c r="M56" t="s">
        <v>55</v>
      </c>
      <c r="N56" t="s">
        <v>18</v>
      </c>
    </row>
    <row r="57" spans="1:14" x14ac:dyDescent="0.2">
      <c r="A57" t="s">
        <v>413</v>
      </c>
      <c r="B57" t="s">
        <v>414</v>
      </c>
      <c r="C57" t="s">
        <v>21</v>
      </c>
      <c r="D57" t="s">
        <v>39</v>
      </c>
      <c r="E57" t="s">
        <v>51</v>
      </c>
      <c r="F57" s="1">
        <f t="shared" si="1"/>
        <v>7</v>
      </c>
      <c r="G57" t="s">
        <v>16</v>
      </c>
      <c r="H57" t="s">
        <v>25</v>
      </c>
      <c r="I57" t="s">
        <v>34</v>
      </c>
      <c r="J57" t="s">
        <v>415</v>
      </c>
      <c r="K57" t="s">
        <v>416</v>
      </c>
      <c r="L57" t="s">
        <v>417</v>
      </c>
      <c r="M57" t="s">
        <v>18</v>
      </c>
      <c r="N57" t="s">
        <v>234</v>
      </c>
    </row>
    <row r="58" spans="1:14" x14ac:dyDescent="0.2">
      <c r="A58" t="s">
        <v>413</v>
      </c>
      <c r="B58" t="s">
        <v>418</v>
      </c>
      <c r="C58" t="s">
        <v>21</v>
      </c>
      <c r="D58" t="s">
        <v>419</v>
      </c>
      <c r="E58" t="s">
        <v>51</v>
      </c>
      <c r="F58" s="1">
        <f t="shared" si="1"/>
        <v>7</v>
      </c>
      <c r="G58" t="s">
        <v>16</v>
      </c>
      <c r="H58" t="s">
        <v>25</v>
      </c>
      <c r="I58" t="s">
        <v>47</v>
      </c>
      <c r="J58" t="s">
        <v>420</v>
      </c>
      <c r="K58" t="s">
        <v>421</v>
      </c>
      <c r="L58" t="s">
        <v>422</v>
      </c>
      <c r="M58" t="s">
        <v>18</v>
      </c>
      <c r="N58" t="s">
        <v>423</v>
      </c>
    </row>
    <row r="59" spans="1:14" x14ac:dyDescent="0.2">
      <c r="A59" t="s">
        <v>424</v>
      </c>
      <c r="B59" t="s">
        <v>425</v>
      </c>
      <c r="C59" t="s">
        <v>21</v>
      </c>
      <c r="D59" t="s">
        <v>77</v>
      </c>
      <c r="E59" t="s">
        <v>23</v>
      </c>
      <c r="F59" s="1">
        <f t="shared" si="1"/>
        <v>7</v>
      </c>
      <c r="G59" t="s">
        <v>395</v>
      </c>
      <c r="H59" t="s">
        <v>60</v>
      </c>
      <c r="I59" t="s">
        <v>23</v>
      </c>
      <c r="J59" t="s">
        <v>426</v>
      </c>
      <c r="K59" t="s">
        <v>18</v>
      </c>
      <c r="L59" t="s">
        <v>397</v>
      </c>
      <c r="M59" t="s">
        <v>18</v>
      </c>
      <c r="N59" t="s">
        <v>18</v>
      </c>
    </row>
    <row r="60" spans="1:14" x14ac:dyDescent="0.2">
      <c r="A60" t="s">
        <v>427</v>
      </c>
      <c r="B60" t="s">
        <v>428</v>
      </c>
      <c r="C60" t="s">
        <v>13</v>
      </c>
      <c r="D60" t="s">
        <v>199</v>
      </c>
      <c r="E60" t="s">
        <v>120</v>
      </c>
      <c r="F60" s="1">
        <f t="shared" si="1"/>
        <v>7</v>
      </c>
      <c r="G60" t="s">
        <v>24</v>
      </c>
      <c r="H60" t="s">
        <v>17</v>
      </c>
      <c r="I60" t="s">
        <v>26</v>
      </c>
      <c r="J60" t="s">
        <v>429</v>
      </c>
      <c r="K60" t="s">
        <v>430</v>
      </c>
      <c r="L60" t="s">
        <v>431</v>
      </c>
      <c r="M60" t="s">
        <v>432</v>
      </c>
      <c r="N60" t="s">
        <v>433</v>
      </c>
    </row>
    <row r="61" spans="1:14" x14ac:dyDescent="0.2">
      <c r="A61" t="s">
        <v>434</v>
      </c>
      <c r="B61" t="s">
        <v>435</v>
      </c>
      <c r="C61" t="s">
        <v>173</v>
      </c>
      <c r="D61" t="s">
        <v>436</v>
      </c>
      <c r="E61" t="s">
        <v>222</v>
      </c>
      <c r="F61" s="1">
        <f t="shared" si="1"/>
        <v>7</v>
      </c>
      <c r="G61" t="s">
        <v>16</v>
      </c>
      <c r="H61" t="s">
        <v>25</v>
      </c>
      <c r="I61" t="s">
        <v>222</v>
      </c>
      <c r="J61" t="s">
        <v>18</v>
      </c>
      <c r="K61" t="s">
        <v>437</v>
      </c>
      <c r="L61" t="s">
        <v>438</v>
      </c>
      <c r="M61" t="s">
        <v>55</v>
      </c>
      <c r="N61" t="s">
        <v>18</v>
      </c>
    </row>
    <row r="62" spans="1:14" x14ac:dyDescent="0.2">
      <c r="A62" t="s">
        <v>439</v>
      </c>
      <c r="B62" t="s">
        <v>440</v>
      </c>
      <c r="C62" t="s">
        <v>101</v>
      </c>
      <c r="D62" t="s">
        <v>441</v>
      </c>
      <c r="E62" t="s">
        <v>195</v>
      </c>
      <c r="F62" s="1">
        <f t="shared" si="1"/>
        <v>7</v>
      </c>
      <c r="G62" t="s">
        <v>16</v>
      </c>
      <c r="H62" t="s">
        <v>25</v>
      </c>
      <c r="I62" t="s">
        <v>195</v>
      </c>
      <c r="J62" t="s">
        <v>18</v>
      </c>
      <c r="K62" t="s">
        <v>442</v>
      </c>
      <c r="L62" t="s">
        <v>443</v>
      </c>
      <c r="M62" t="s">
        <v>55</v>
      </c>
      <c r="N62" t="s">
        <v>18</v>
      </c>
    </row>
    <row r="63" spans="1:14" x14ac:dyDescent="0.2">
      <c r="A63" t="s">
        <v>444</v>
      </c>
      <c r="B63" t="s">
        <v>445</v>
      </c>
      <c r="C63" t="s">
        <v>21</v>
      </c>
      <c r="D63" t="s">
        <v>22</v>
      </c>
      <c r="E63" t="s">
        <v>59</v>
      </c>
      <c r="F63" s="1">
        <f t="shared" si="1"/>
        <v>7</v>
      </c>
      <c r="G63" t="s">
        <v>24</v>
      </c>
      <c r="H63" t="s">
        <v>25</v>
      </c>
      <c r="I63" t="s">
        <v>332</v>
      </c>
      <c r="J63" t="s">
        <v>446</v>
      </c>
      <c r="K63" t="s">
        <v>447</v>
      </c>
      <c r="L63" t="s">
        <v>160</v>
      </c>
      <c r="M63" t="s">
        <v>18</v>
      </c>
      <c r="N63" t="s">
        <v>55</v>
      </c>
    </row>
    <row r="64" spans="1:14" x14ac:dyDescent="0.2">
      <c r="A64" t="s">
        <v>448</v>
      </c>
      <c r="B64" t="s">
        <v>449</v>
      </c>
      <c r="C64" t="s">
        <v>450</v>
      </c>
      <c r="D64" t="s">
        <v>14</v>
      </c>
      <c r="E64" t="s">
        <v>209</v>
      </c>
      <c r="F64" s="1">
        <f t="shared" si="1"/>
        <v>7</v>
      </c>
      <c r="G64" t="s">
        <v>406</v>
      </c>
      <c r="H64" t="s">
        <v>25</v>
      </c>
      <c r="I64" t="s">
        <v>209</v>
      </c>
      <c r="J64" t="s">
        <v>451</v>
      </c>
      <c r="K64" t="s">
        <v>452</v>
      </c>
      <c r="L64" t="s">
        <v>453</v>
      </c>
      <c r="M64" t="s">
        <v>83</v>
      </c>
      <c r="N64" t="s">
        <v>454</v>
      </c>
    </row>
    <row r="65" spans="1:14" x14ac:dyDescent="0.2">
      <c r="A65" t="s">
        <v>457</v>
      </c>
      <c r="B65" t="s">
        <v>458</v>
      </c>
      <c r="C65" t="s">
        <v>21</v>
      </c>
      <c r="D65" t="s">
        <v>39</v>
      </c>
      <c r="E65" t="s">
        <v>51</v>
      </c>
      <c r="F65" s="1">
        <f t="shared" si="1"/>
        <v>7</v>
      </c>
      <c r="G65" t="s">
        <v>24</v>
      </c>
      <c r="H65" t="s">
        <v>25</v>
      </c>
      <c r="I65" t="s">
        <v>51</v>
      </c>
      <c r="J65" t="s">
        <v>459</v>
      </c>
      <c r="K65" t="s">
        <v>460</v>
      </c>
      <c r="L65" t="s">
        <v>461</v>
      </c>
      <c r="M65" t="s">
        <v>18</v>
      </c>
      <c r="N65" t="s">
        <v>285</v>
      </c>
    </row>
    <row r="66" spans="1:14" x14ac:dyDescent="0.2">
      <c r="A66" t="s">
        <v>462</v>
      </c>
      <c r="B66" t="s">
        <v>463</v>
      </c>
      <c r="C66" t="s">
        <v>13</v>
      </c>
      <c r="D66" t="s">
        <v>464</v>
      </c>
      <c r="E66" t="s">
        <v>188</v>
      </c>
      <c r="F66" s="1">
        <f t="shared" si="1"/>
        <v>7</v>
      </c>
      <c r="G66" t="s">
        <v>16</v>
      </c>
      <c r="H66" t="s">
        <v>25</v>
      </c>
      <c r="I66" t="s">
        <v>188</v>
      </c>
      <c r="J66" t="s">
        <v>465</v>
      </c>
      <c r="K66" t="s">
        <v>466</v>
      </c>
      <c r="L66" t="s">
        <v>467</v>
      </c>
      <c r="M66" t="s">
        <v>240</v>
      </c>
      <c r="N66" t="s">
        <v>55</v>
      </c>
    </row>
    <row r="67" spans="1:14" x14ac:dyDescent="0.2">
      <c r="A67" t="s">
        <v>468</v>
      </c>
      <c r="B67" t="s">
        <v>469</v>
      </c>
      <c r="C67" t="s">
        <v>101</v>
      </c>
      <c r="D67" t="s">
        <v>199</v>
      </c>
      <c r="E67" t="s">
        <v>69</v>
      </c>
      <c r="F67" s="1">
        <f t="shared" si="1"/>
        <v>7</v>
      </c>
      <c r="G67" t="s">
        <v>16</v>
      </c>
      <c r="H67" t="s">
        <v>25</v>
      </c>
      <c r="I67" t="s">
        <v>69</v>
      </c>
      <c r="J67" t="s">
        <v>18</v>
      </c>
      <c r="K67" t="s">
        <v>470</v>
      </c>
      <c r="L67" t="s">
        <v>471</v>
      </c>
      <c r="M67" t="s">
        <v>171</v>
      </c>
      <c r="N67" t="s">
        <v>18</v>
      </c>
    </row>
    <row r="68" spans="1:14" x14ac:dyDescent="0.2">
      <c r="A68" t="s">
        <v>472</v>
      </c>
      <c r="B68" t="s">
        <v>473</v>
      </c>
      <c r="C68" t="s">
        <v>173</v>
      </c>
      <c r="D68" t="s">
        <v>215</v>
      </c>
      <c r="E68" t="s">
        <v>188</v>
      </c>
      <c r="F68" s="1">
        <f t="shared" si="1"/>
        <v>7</v>
      </c>
      <c r="G68" t="s">
        <v>16</v>
      </c>
      <c r="H68" t="s">
        <v>17</v>
      </c>
      <c r="I68" t="s">
        <v>188</v>
      </c>
      <c r="J68" t="s">
        <v>18</v>
      </c>
      <c r="K68" t="s">
        <v>474</v>
      </c>
      <c r="L68" t="s">
        <v>475</v>
      </c>
      <c r="M68" t="s">
        <v>55</v>
      </c>
      <c r="N68" t="s">
        <v>18</v>
      </c>
    </row>
    <row r="69" spans="1:14" x14ac:dyDescent="0.2">
      <c r="A69" t="s">
        <v>476</v>
      </c>
      <c r="B69" t="s">
        <v>477</v>
      </c>
      <c r="C69" t="s">
        <v>21</v>
      </c>
      <c r="D69" t="s">
        <v>155</v>
      </c>
      <c r="E69" t="s">
        <v>222</v>
      </c>
      <c r="F69" s="1">
        <f t="shared" si="1"/>
        <v>7</v>
      </c>
      <c r="G69" t="s">
        <v>16</v>
      </c>
      <c r="H69" t="s">
        <v>17</v>
      </c>
      <c r="I69" t="s">
        <v>23</v>
      </c>
      <c r="J69" t="s">
        <v>478</v>
      </c>
      <c r="K69" t="s">
        <v>479</v>
      </c>
      <c r="L69" t="s">
        <v>480</v>
      </c>
      <c r="M69" t="s">
        <v>18</v>
      </c>
      <c r="N69" t="s">
        <v>481</v>
      </c>
    </row>
    <row r="70" spans="1:14" x14ac:dyDescent="0.2">
      <c r="A70" t="s">
        <v>482</v>
      </c>
      <c r="B70" t="s">
        <v>483</v>
      </c>
      <c r="C70" t="s">
        <v>13</v>
      </c>
      <c r="D70" t="s">
        <v>464</v>
      </c>
      <c r="E70" t="s">
        <v>195</v>
      </c>
      <c r="F70" s="1">
        <f t="shared" si="1"/>
        <v>7</v>
      </c>
      <c r="G70" t="s">
        <v>24</v>
      </c>
      <c r="H70" t="s">
        <v>25</v>
      </c>
      <c r="I70" t="s">
        <v>195</v>
      </c>
      <c r="J70" t="s">
        <v>18</v>
      </c>
      <c r="K70" t="s">
        <v>484</v>
      </c>
      <c r="L70" t="s">
        <v>485</v>
      </c>
      <c r="M70" t="s">
        <v>55</v>
      </c>
      <c r="N70" t="s">
        <v>18</v>
      </c>
    </row>
    <row r="71" spans="1:14" x14ac:dyDescent="0.2">
      <c r="A71" t="s">
        <v>486</v>
      </c>
      <c r="B71" t="s">
        <v>487</v>
      </c>
      <c r="C71" t="s">
        <v>21</v>
      </c>
      <c r="D71" t="s">
        <v>289</v>
      </c>
      <c r="E71" t="s">
        <v>51</v>
      </c>
      <c r="F71" s="1">
        <f t="shared" si="1"/>
        <v>7</v>
      </c>
      <c r="G71" t="s">
        <v>16</v>
      </c>
      <c r="H71" t="s">
        <v>17</v>
      </c>
      <c r="I71" t="s">
        <v>70</v>
      </c>
      <c r="J71" t="s">
        <v>488</v>
      </c>
      <c r="K71" t="s">
        <v>489</v>
      </c>
      <c r="L71" t="s">
        <v>490</v>
      </c>
      <c r="M71" t="s">
        <v>18</v>
      </c>
      <c r="N71" t="s">
        <v>491</v>
      </c>
    </row>
    <row r="72" spans="1:14" x14ac:dyDescent="0.2">
      <c r="A72" t="s">
        <v>492</v>
      </c>
      <c r="B72" t="s">
        <v>493</v>
      </c>
      <c r="C72" t="s">
        <v>101</v>
      </c>
      <c r="D72" t="s">
        <v>494</v>
      </c>
      <c r="E72" t="s">
        <v>326</v>
      </c>
      <c r="F72" s="1">
        <f t="shared" si="1"/>
        <v>7</v>
      </c>
      <c r="G72" t="s">
        <v>16</v>
      </c>
      <c r="H72" t="s">
        <v>25</v>
      </c>
      <c r="I72" t="s">
        <v>326</v>
      </c>
      <c r="J72" t="s">
        <v>18</v>
      </c>
      <c r="K72" t="s">
        <v>495</v>
      </c>
      <c r="L72" t="s">
        <v>496</v>
      </c>
      <c r="M72" t="s">
        <v>55</v>
      </c>
      <c r="N72" t="s">
        <v>18</v>
      </c>
    </row>
    <row r="73" spans="1:14" x14ac:dyDescent="0.2">
      <c r="A73" t="s">
        <v>497</v>
      </c>
      <c r="B73" t="s">
        <v>498</v>
      </c>
      <c r="C73" t="s">
        <v>42</v>
      </c>
      <c r="D73" t="s">
        <v>499</v>
      </c>
      <c r="E73" t="s">
        <v>33</v>
      </c>
      <c r="F73" s="1">
        <f t="shared" si="1"/>
        <v>7</v>
      </c>
      <c r="G73" t="s">
        <v>16</v>
      </c>
      <c r="H73" t="s">
        <v>17</v>
      </c>
      <c r="I73" t="s">
        <v>157</v>
      </c>
      <c r="J73" t="s">
        <v>500</v>
      </c>
      <c r="K73" t="s">
        <v>501</v>
      </c>
      <c r="L73" t="s">
        <v>502</v>
      </c>
      <c r="M73" t="s">
        <v>18</v>
      </c>
      <c r="N73" t="s">
        <v>503</v>
      </c>
    </row>
    <row r="74" spans="1:14" x14ac:dyDescent="0.2">
      <c r="A74" t="s">
        <v>504</v>
      </c>
      <c r="B74" t="s">
        <v>505</v>
      </c>
      <c r="C74" t="s">
        <v>176</v>
      </c>
      <c r="D74" t="s">
        <v>376</v>
      </c>
      <c r="E74" t="s">
        <v>209</v>
      </c>
      <c r="F74" s="1">
        <f t="shared" si="1"/>
        <v>7</v>
      </c>
      <c r="G74" t="s">
        <v>16</v>
      </c>
      <c r="H74" t="s">
        <v>17</v>
      </c>
      <c r="I74" t="s">
        <v>209</v>
      </c>
      <c r="J74" t="s">
        <v>18</v>
      </c>
      <c r="K74" t="s">
        <v>506</v>
      </c>
      <c r="L74" t="s">
        <v>507</v>
      </c>
      <c r="M74" t="s">
        <v>218</v>
      </c>
      <c r="N74" t="s">
        <v>18</v>
      </c>
    </row>
    <row r="75" spans="1:14" x14ac:dyDescent="0.2">
      <c r="A75" t="s">
        <v>508</v>
      </c>
      <c r="B75" t="s">
        <v>509</v>
      </c>
      <c r="C75" t="s">
        <v>21</v>
      </c>
      <c r="D75" t="s">
        <v>289</v>
      </c>
      <c r="E75" t="s">
        <v>69</v>
      </c>
      <c r="F75" s="1">
        <f t="shared" si="1"/>
        <v>7</v>
      </c>
      <c r="G75" t="s">
        <v>16</v>
      </c>
      <c r="H75" t="s">
        <v>25</v>
      </c>
      <c r="I75" t="s">
        <v>87</v>
      </c>
      <c r="J75" t="s">
        <v>510</v>
      </c>
      <c r="K75" t="s">
        <v>511</v>
      </c>
      <c r="L75" t="s">
        <v>73</v>
      </c>
      <c r="M75" t="s">
        <v>18</v>
      </c>
      <c r="N75" t="s">
        <v>38</v>
      </c>
    </row>
    <row r="76" spans="1:14" x14ac:dyDescent="0.2">
      <c r="A76" t="s">
        <v>512</v>
      </c>
      <c r="B76" t="s">
        <v>513</v>
      </c>
      <c r="C76" t="s">
        <v>101</v>
      </c>
      <c r="D76" t="s">
        <v>325</v>
      </c>
      <c r="E76" t="s">
        <v>188</v>
      </c>
      <c r="F76" s="1">
        <f t="shared" si="1"/>
        <v>7</v>
      </c>
      <c r="G76" t="s">
        <v>24</v>
      </c>
      <c r="H76" t="s">
        <v>25</v>
      </c>
      <c r="I76" t="s">
        <v>188</v>
      </c>
      <c r="J76" t="s">
        <v>514</v>
      </c>
      <c r="K76" t="s">
        <v>515</v>
      </c>
      <c r="L76" t="s">
        <v>24</v>
      </c>
      <c r="M76" t="s">
        <v>18</v>
      </c>
      <c r="N76" t="s">
        <v>516</v>
      </c>
    </row>
    <row r="77" spans="1:14" x14ac:dyDescent="0.2">
      <c r="A77" t="s">
        <v>518</v>
      </c>
      <c r="B77" t="s">
        <v>519</v>
      </c>
      <c r="C77" t="s">
        <v>21</v>
      </c>
      <c r="D77" t="s">
        <v>39</v>
      </c>
      <c r="E77" t="s">
        <v>188</v>
      </c>
      <c r="F77" s="1">
        <f t="shared" si="1"/>
        <v>7</v>
      </c>
      <c r="G77" t="s">
        <v>16</v>
      </c>
      <c r="H77" t="s">
        <v>17</v>
      </c>
      <c r="I77" t="s">
        <v>520</v>
      </c>
      <c r="J77" t="s">
        <v>521</v>
      </c>
      <c r="K77" t="s">
        <v>522</v>
      </c>
      <c r="L77" t="s">
        <v>523</v>
      </c>
      <c r="M77" t="s">
        <v>18</v>
      </c>
      <c r="N77" t="s">
        <v>524</v>
      </c>
    </row>
    <row r="78" spans="1:14" x14ac:dyDescent="0.2">
      <c r="A78" t="s">
        <v>525</v>
      </c>
      <c r="B78" t="s">
        <v>526</v>
      </c>
      <c r="C78" t="s">
        <v>42</v>
      </c>
      <c r="D78" t="s">
        <v>499</v>
      </c>
      <c r="E78" t="s">
        <v>26</v>
      </c>
      <c r="F78" s="1">
        <f t="shared" si="1"/>
        <v>7</v>
      </c>
      <c r="G78" t="s">
        <v>16</v>
      </c>
      <c r="H78" t="s">
        <v>25</v>
      </c>
      <c r="I78" t="s">
        <v>26</v>
      </c>
      <c r="J78" t="s">
        <v>527</v>
      </c>
      <c r="K78" t="s">
        <v>527</v>
      </c>
      <c r="L78" t="s">
        <v>528</v>
      </c>
      <c r="M78" t="s">
        <v>18</v>
      </c>
      <c r="N78" t="s">
        <v>81</v>
      </c>
    </row>
    <row r="79" spans="1:14" x14ac:dyDescent="0.2">
      <c r="A79" t="s">
        <v>529</v>
      </c>
      <c r="B79" t="s">
        <v>530</v>
      </c>
      <c r="C79" t="s">
        <v>21</v>
      </c>
      <c r="D79" t="s">
        <v>289</v>
      </c>
      <c r="E79" t="s">
        <v>69</v>
      </c>
      <c r="F79" s="1">
        <f t="shared" ref="F79:F106" si="2">MONTH(E79)</f>
        <v>7</v>
      </c>
      <c r="G79" t="s">
        <v>16</v>
      </c>
      <c r="H79" t="s">
        <v>25</v>
      </c>
      <c r="I79" t="s">
        <v>290</v>
      </c>
      <c r="J79" t="s">
        <v>531</v>
      </c>
      <c r="K79" t="s">
        <v>292</v>
      </c>
      <c r="L79" t="s">
        <v>73</v>
      </c>
      <c r="M79" t="s">
        <v>18</v>
      </c>
      <c r="N79" t="s">
        <v>293</v>
      </c>
    </row>
    <row r="80" spans="1:14" x14ac:dyDescent="0.2">
      <c r="A80" t="s">
        <v>532</v>
      </c>
      <c r="B80" t="s">
        <v>533</v>
      </c>
      <c r="C80" t="s">
        <v>176</v>
      </c>
      <c r="D80" t="s">
        <v>215</v>
      </c>
      <c r="E80" t="s">
        <v>195</v>
      </c>
      <c r="F80" s="1">
        <f t="shared" si="2"/>
        <v>7</v>
      </c>
      <c r="G80" t="s">
        <v>269</v>
      </c>
      <c r="H80" t="s">
        <v>25</v>
      </c>
      <c r="I80" t="s">
        <v>195</v>
      </c>
      <c r="J80" t="s">
        <v>18</v>
      </c>
      <c r="K80" t="s">
        <v>534</v>
      </c>
      <c r="L80" t="s">
        <v>535</v>
      </c>
      <c r="M80" t="s">
        <v>339</v>
      </c>
      <c r="N80" t="s">
        <v>18</v>
      </c>
    </row>
    <row r="81" spans="1:14" x14ac:dyDescent="0.2">
      <c r="A81" t="s">
        <v>536</v>
      </c>
      <c r="B81" t="s">
        <v>537</v>
      </c>
      <c r="C81" t="s">
        <v>21</v>
      </c>
      <c r="D81" t="s">
        <v>22</v>
      </c>
      <c r="E81" t="s">
        <v>156</v>
      </c>
      <c r="F81" s="1">
        <f t="shared" si="2"/>
        <v>7</v>
      </c>
      <c r="G81" t="s">
        <v>24</v>
      </c>
      <c r="H81" t="s">
        <v>25</v>
      </c>
      <c r="I81" t="s">
        <v>156</v>
      </c>
      <c r="J81" t="s">
        <v>538</v>
      </c>
      <c r="K81" t="s">
        <v>216</v>
      </c>
      <c r="L81" t="s">
        <v>319</v>
      </c>
      <c r="M81" t="s">
        <v>18</v>
      </c>
      <c r="N81" t="s">
        <v>55</v>
      </c>
    </row>
    <row r="82" spans="1:14" x14ac:dyDescent="0.2">
      <c r="A82" t="s">
        <v>539</v>
      </c>
      <c r="B82" t="s">
        <v>540</v>
      </c>
      <c r="C82" t="s">
        <v>42</v>
      </c>
      <c r="D82" t="s">
        <v>455</v>
      </c>
      <c r="E82" t="s">
        <v>51</v>
      </c>
      <c r="F82" s="1">
        <f t="shared" si="2"/>
        <v>7</v>
      </c>
      <c r="G82" t="s">
        <v>269</v>
      </c>
      <c r="H82" t="s">
        <v>25</v>
      </c>
      <c r="I82" t="s">
        <v>103</v>
      </c>
      <c r="J82" t="s">
        <v>541</v>
      </c>
      <c r="K82" t="s">
        <v>542</v>
      </c>
      <c r="L82" t="s">
        <v>543</v>
      </c>
      <c r="M82" t="s">
        <v>18</v>
      </c>
      <c r="N82" t="s">
        <v>544</v>
      </c>
    </row>
    <row r="83" spans="1:14" x14ac:dyDescent="0.2">
      <c r="A83" t="s">
        <v>545</v>
      </c>
      <c r="B83" t="s">
        <v>546</v>
      </c>
      <c r="C83" t="s">
        <v>42</v>
      </c>
      <c r="D83" t="s">
        <v>547</v>
      </c>
      <c r="E83" t="s">
        <v>23</v>
      </c>
      <c r="F83" s="1">
        <f t="shared" si="2"/>
        <v>7</v>
      </c>
      <c r="G83" t="s">
        <v>406</v>
      </c>
      <c r="H83" t="s">
        <v>25</v>
      </c>
      <c r="I83" t="s">
        <v>26</v>
      </c>
      <c r="J83" t="s">
        <v>375</v>
      </c>
      <c r="K83" t="s">
        <v>548</v>
      </c>
      <c r="L83" t="s">
        <v>549</v>
      </c>
      <c r="M83" t="s">
        <v>18</v>
      </c>
      <c r="N83" t="s">
        <v>353</v>
      </c>
    </row>
    <row r="84" spans="1:14" x14ac:dyDescent="0.2">
      <c r="A84" t="s">
        <v>550</v>
      </c>
      <c r="B84" t="s">
        <v>551</v>
      </c>
      <c r="C84" t="s">
        <v>21</v>
      </c>
      <c r="D84" t="s">
        <v>39</v>
      </c>
      <c r="E84" t="s">
        <v>51</v>
      </c>
      <c r="F84" s="1">
        <f t="shared" si="2"/>
        <v>7</v>
      </c>
      <c r="G84" t="s">
        <v>24</v>
      </c>
      <c r="H84" t="s">
        <v>25</v>
      </c>
      <c r="I84" t="s">
        <v>61</v>
      </c>
      <c r="J84" t="s">
        <v>552</v>
      </c>
      <c r="K84" t="s">
        <v>553</v>
      </c>
      <c r="L84" t="s">
        <v>554</v>
      </c>
      <c r="M84" t="s">
        <v>18</v>
      </c>
      <c r="N84" t="s">
        <v>555</v>
      </c>
    </row>
    <row r="85" spans="1:14" x14ac:dyDescent="0.2">
      <c r="A85" t="s">
        <v>556</v>
      </c>
      <c r="B85" t="s">
        <v>557</v>
      </c>
      <c r="C85" t="s">
        <v>101</v>
      </c>
      <c r="D85" t="s">
        <v>325</v>
      </c>
      <c r="E85" t="s">
        <v>326</v>
      </c>
      <c r="F85" s="1">
        <f t="shared" si="2"/>
        <v>7</v>
      </c>
      <c r="G85" t="s">
        <v>24</v>
      </c>
      <c r="H85" t="s">
        <v>25</v>
      </c>
      <c r="I85" t="s">
        <v>326</v>
      </c>
      <c r="J85" t="s">
        <v>558</v>
      </c>
      <c r="K85" t="s">
        <v>559</v>
      </c>
      <c r="L85" t="s">
        <v>319</v>
      </c>
      <c r="M85" t="s">
        <v>18</v>
      </c>
      <c r="N85" t="s">
        <v>55</v>
      </c>
    </row>
    <row r="86" spans="1:14" x14ac:dyDescent="0.2">
      <c r="A86" t="s">
        <v>560</v>
      </c>
      <c r="B86" t="s">
        <v>561</v>
      </c>
      <c r="C86" t="s">
        <v>42</v>
      </c>
      <c r="D86" t="s">
        <v>562</v>
      </c>
      <c r="E86" t="s">
        <v>156</v>
      </c>
      <c r="F86" s="1">
        <f t="shared" si="2"/>
        <v>7</v>
      </c>
      <c r="G86" t="s">
        <v>24</v>
      </c>
      <c r="H86" t="s">
        <v>25</v>
      </c>
      <c r="I86" t="s">
        <v>157</v>
      </c>
      <c r="J86" t="s">
        <v>563</v>
      </c>
      <c r="K86" t="s">
        <v>564</v>
      </c>
      <c r="L86" t="s">
        <v>565</v>
      </c>
      <c r="M86" t="s">
        <v>18</v>
      </c>
      <c r="N86" t="s">
        <v>266</v>
      </c>
    </row>
    <row r="87" spans="1:14" x14ac:dyDescent="0.2">
      <c r="A87" t="s">
        <v>566</v>
      </c>
      <c r="B87" t="s">
        <v>567</v>
      </c>
      <c r="C87" t="s">
        <v>21</v>
      </c>
      <c r="D87" t="s">
        <v>155</v>
      </c>
      <c r="E87" t="s">
        <v>332</v>
      </c>
      <c r="F87" s="1">
        <f t="shared" si="2"/>
        <v>7</v>
      </c>
      <c r="G87" t="s">
        <v>24</v>
      </c>
      <c r="H87" t="s">
        <v>25</v>
      </c>
      <c r="I87" t="s">
        <v>332</v>
      </c>
      <c r="J87" t="s">
        <v>568</v>
      </c>
      <c r="K87" t="s">
        <v>569</v>
      </c>
      <c r="L87" t="s">
        <v>160</v>
      </c>
      <c r="M87" t="s">
        <v>18</v>
      </c>
      <c r="N87" t="s">
        <v>81</v>
      </c>
    </row>
    <row r="88" spans="1:14" x14ac:dyDescent="0.2">
      <c r="A88" t="s">
        <v>570</v>
      </c>
      <c r="B88" t="s">
        <v>571</v>
      </c>
      <c r="C88" t="s">
        <v>21</v>
      </c>
      <c r="D88" t="s">
        <v>342</v>
      </c>
      <c r="E88" t="s">
        <v>332</v>
      </c>
      <c r="F88" s="1">
        <f t="shared" si="2"/>
        <v>7</v>
      </c>
      <c r="G88" t="s">
        <v>24</v>
      </c>
      <c r="H88" t="s">
        <v>25</v>
      </c>
      <c r="I88" t="s">
        <v>332</v>
      </c>
      <c r="J88" t="s">
        <v>572</v>
      </c>
      <c r="K88" t="s">
        <v>573</v>
      </c>
      <c r="L88" t="s">
        <v>574</v>
      </c>
      <c r="M88" t="s">
        <v>18</v>
      </c>
      <c r="N88" t="s">
        <v>81</v>
      </c>
    </row>
    <row r="89" spans="1:14" x14ac:dyDescent="0.2">
      <c r="A89" t="s">
        <v>578</v>
      </c>
      <c r="B89" t="s">
        <v>579</v>
      </c>
      <c r="C89" t="s">
        <v>101</v>
      </c>
      <c r="D89" t="s">
        <v>278</v>
      </c>
      <c r="E89" t="s">
        <v>156</v>
      </c>
      <c r="F89" s="1">
        <f t="shared" si="2"/>
        <v>7</v>
      </c>
      <c r="G89" t="s">
        <v>16</v>
      </c>
      <c r="H89" t="s">
        <v>17</v>
      </c>
      <c r="I89" t="s">
        <v>51</v>
      </c>
      <c r="J89" t="s">
        <v>580</v>
      </c>
      <c r="K89" t="s">
        <v>581</v>
      </c>
      <c r="L89" t="s">
        <v>582</v>
      </c>
      <c r="M89" t="s">
        <v>18</v>
      </c>
      <c r="N89" t="s">
        <v>65</v>
      </c>
    </row>
    <row r="90" spans="1:14" x14ac:dyDescent="0.2">
      <c r="A90" t="s">
        <v>585</v>
      </c>
      <c r="B90" t="s">
        <v>586</v>
      </c>
      <c r="C90" t="s">
        <v>21</v>
      </c>
      <c r="D90" t="s">
        <v>32</v>
      </c>
      <c r="E90" t="s">
        <v>51</v>
      </c>
      <c r="F90" s="1">
        <f t="shared" si="2"/>
        <v>7</v>
      </c>
      <c r="G90" t="s">
        <v>16</v>
      </c>
      <c r="H90" t="s">
        <v>25</v>
      </c>
      <c r="I90" t="s">
        <v>51</v>
      </c>
      <c r="J90" t="s">
        <v>587</v>
      </c>
      <c r="K90" t="s">
        <v>588</v>
      </c>
      <c r="L90" t="s">
        <v>589</v>
      </c>
      <c r="M90" t="s">
        <v>18</v>
      </c>
      <c r="N90" t="s">
        <v>81</v>
      </c>
    </row>
    <row r="91" spans="1:14" x14ac:dyDescent="0.2">
      <c r="A91" t="s">
        <v>591</v>
      </c>
      <c r="B91" t="s">
        <v>592</v>
      </c>
      <c r="C91" t="s">
        <v>173</v>
      </c>
      <c r="D91" t="s">
        <v>14</v>
      </c>
      <c r="E91" t="s">
        <v>326</v>
      </c>
      <c r="F91" s="1">
        <f t="shared" si="2"/>
        <v>7</v>
      </c>
      <c r="G91" t="s">
        <v>269</v>
      </c>
      <c r="H91" t="s">
        <v>25</v>
      </c>
      <c r="I91" t="s">
        <v>326</v>
      </c>
      <c r="J91" t="s">
        <v>18</v>
      </c>
      <c r="K91" t="s">
        <v>593</v>
      </c>
      <c r="L91" t="s">
        <v>594</v>
      </c>
      <c r="M91" t="s">
        <v>259</v>
      </c>
      <c r="N91" t="s">
        <v>18</v>
      </c>
    </row>
    <row r="92" spans="1:14" x14ac:dyDescent="0.2">
      <c r="A92" t="s">
        <v>595</v>
      </c>
      <c r="B92" t="s">
        <v>596</v>
      </c>
      <c r="C92" t="s">
        <v>21</v>
      </c>
      <c r="D92" t="s">
        <v>39</v>
      </c>
      <c r="E92" t="s">
        <v>51</v>
      </c>
      <c r="F92" s="1">
        <f t="shared" si="2"/>
        <v>7</v>
      </c>
      <c r="G92" t="s">
        <v>16</v>
      </c>
      <c r="H92" t="s">
        <v>17</v>
      </c>
      <c r="I92" t="s">
        <v>108</v>
      </c>
      <c r="J92" t="s">
        <v>597</v>
      </c>
      <c r="K92" t="s">
        <v>598</v>
      </c>
      <c r="L92" t="s">
        <v>599</v>
      </c>
      <c r="M92" t="s">
        <v>18</v>
      </c>
      <c r="N92" t="s">
        <v>600</v>
      </c>
    </row>
    <row r="93" spans="1:14" x14ac:dyDescent="0.2">
      <c r="A93" t="s">
        <v>601</v>
      </c>
      <c r="B93" t="s">
        <v>602</v>
      </c>
      <c r="C93" t="s">
        <v>176</v>
      </c>
      <c r="D93" t="s">
        <v>199</v>
      </c>
      <c r="E93" t="s">
        <v>120</v>
      </c>
      <c r="F93" s="1">
        <f t="shared" si="2"/>
        <v>7</v>
      </c>
      <c r="G93" t="s">
        <v>406</v>
      </c>
      <c r="H93" t="s">
        <v>17</v>
      </c>
      <c r="I93" t="s">
        <v>120</v>
      </c>
      <c r="J93" t="s">
        <v>603</v>
      </c>
      <c r="K93" t="s">
        <v>604</v>
      </c>
      <c r="L93" t="s">
        <v>605</v>
      </c>
      <c r="M93" t="s">
        <v>606</v>
      </c>
      <c r="N93" t="s">
        <v>41</v>
      </c>
    </row>
    <row r="94" spans="1:14" x14ac:dyDescent="0.2">
      <c r="A94" t="s">
        <v>607</v>
      </c>
      <c r="B94" t="s">
        <v>608</v>
      </c>
      <c r="C94" t="s">
        <v>173</v>
      </c>
      <c r="D94" t="s">
        <v>215</v>
      </c>
      <c r="E94" t="s">
        <v>23</v>
      </c>
      <c r="F94" s="1">
        <f t="shared" si="2"/>
        <v>7</v>
      </c>
      <c r="G94" t="s">
        <v>256</v>
      </c>
      <c r="H94" t="s">
        <v>25</v>
      </c>
      <c r="I94" t="s">
        <v>23</v>
      </c>
      <c r="J94" t="s">
        <v>18</v>
      </c>
      <c r="K94" t="s">
        <v>609</v>
      </c>
      <c r="L94" t="s">
        <v>610</v>
      </c>
      <c r="M94" t="s">
        <v>611</v>
      </c>
      <c r="N94" t="s">
        <v>18</v>
      </c>
    </row>
    <row r="95" spans="1:14" x14ac:dyDescent="0.2">
      <c r="A95" t="s">
        <v>612</v>
      </c>
      <c r="B95" t="s">
        <v>613</v>
      </c>
      <c r="C95" t="s">
        <v>21</v>
      </c>
      <c r="D95" t="s">
        <v>32</v>
      </c>
      <c r="E95" t="s">
        <v>188</v>
      </c>
      <c r="F95" s="1">
        <f t="shared" si="2"/>
        <v>7</v>
      </c>
      <c r="G95" t="s">
        <v>16</v>
      </c>
      <c r="H95" t="s">
        <v>17</v>
      </c>
      <c r="I95" t="s">
        <v>51</v>
      </c>
      <c r="J95" t="s">
        <v>614</v>
      </c>
      <c r="K95" t="s">
        <v>615</v>
      </c>
      <c r="L95" t="s">
        <v>616</v>
      </c>
      <c r="M95" t="s">
        <v>18</v>
      </c>
      <c r="N95" t="s">
        <v>617</v>
      </c>
    </row>
    <row r="96" spans="1:14" x14ac:dyDescent="0.2">
      <c r="A96" t="s">
        <v>618</v>
      </c>
      <c r="B96" t="s">
        <v>619</v>
      </c>
      <c r="C96" t="s">
        <v>13</v>
      </c>
      <c r="D96" t="s">
        <v>376</v>
      </c>
      <c r="E96" t="s">
        <v>51</v>
      </c>
      <c r="F96" s="1">
        <f t="shared" si="2"/>
        <v>7</v>
      </c>
      <c r="G96" t="s">
        <v>16</v>
      </c>
      <c r="H96" t="s">
        <v>17</v>
      </c>
      <c r="I96" t="s">
        <v>51</v>
      </c>
      <c r="J96" t="s">
        <v>620</v>
      </c>
      <c r="K96" t="s">
        <v>621</v>
      </c>
      <c r="L96" t="s">
        <v>622</v>
      </c>
      <c r="M96" t="s">
        <v>171</v>
      </c>
      <c r="N96" t="s">
        <v>623</v>
      </c>
    </row>
    <row r="97" spans="1:14" x14ac:dyDescent="0.2">
      <c r="A97" t="s">
        <v>624</v>
      </c>
      <c r="B97" t="s">
        <v>625</v>
      </c>
      <c r="C97" t="s">
        <v>42</v>
      </c>
      <c r="D97" t="s">
        <v>626</v>
      </c>
      <c r="E97" t="s">
        <v>249</v>
      </c>
      <c r="F97" s="1">
        <f t="shared" si="2"/>
        <v>7</v>
      </c>
      <c r="G97" t="s">
        <v>24</v>
      </c>
      <c r="H97" t="s">
        <v>25</v>
      </c>
      <c r="I97" t="s">
        <v>209</v>
      </c>
      <c r="J97" t="s">
        <v>627</v>
      </c>
      <c r="K97" t="s">
        <v>628</v>
      </c>
      <c r="L97" t="s">
        <v>629</v>
      </c>
      <c r="M97" t="s">
        <v>18</v>
      </c>
      <c r="N97" t="s">
        <v>630</v>
      </c>
    </row>
    <row r="98" spans="1:14" x14ac:dyDescent="0.2">
      <c r="A98" t="s">
        <v>631</v>
      </c>
      <c r="B98" t="s">
        <v>632</v>
      </c>
      <c r="C98" t="s">
        <v>42</v>
      </c>
      <c r="D98" t="s">
        <v>633</v>
      </c>
      <c r="E98" t="s">
        <v>249</v>
      </c>
      <c r="F98" s="1">
        <f t="shared" si="2"/>
        <v>7</v>
      </c>
      <c r="G98" t="s">
        <v>16</v>
      </c>
      <c r="H98" t="s">
        <v>17</v>
      </c>
      <c r="I98" t="s">
        <v>34</v>
      </c>
      <c r="J98" t="s">
        <v>634</v>
      </c>
      <c r="K98" t="s">
        <v>635</v>
      </c>
      <c r="L98" t="s">
        <v>636</v>
      </c>
      <c r="M98" t="s">
        <v>18</v>
      </c>
      <c r="N98" t="s">
        <v>637</v>
      </c>
    </row>
    <row r="99" spans="1:14" x14ac:dyDescent="0.2">
      <c r="A99" t="s">
        <v>638</v>
      </c>
      <c r="B99" t="s">
        <v>639</v>
      </c>
      <c r="C99" t="s">
        <v>21</v>
      </c>
      <c r="D99" t="s">
        <v>39</v>
      </c>
      <c r="E99" t="s">
        <v>59</v>
      </c>
      <c r="F99" s="1">
        <f t="shared" si="2"/>
        <v>7</v>
      </c>
      <c r="G99" t="s">
        <v>16</v>
      </c>
      <c r="H99" t="s">
        <v>17</v>
      </c>
      <c r="I99" t="s">
        <v>163</v>
      </c>
      <c r="J99" t="s">
        <v>640</v>
      </c>
      <c r="K99" t="s">
        <v>641</v>
      </c>
      <c r="L99" t="s">
        <v>642</v>
      </c>
      <c r="M99" t="s">
        <v>18</v>
      </c>
      <c r="N99" t="s">
        <v>643</v>
      </c>
    </row>
    <row r="100" spans="1:14" x14ac:dyDescent="0.2">
      <c r="A100" t="s">
        <v>644</v>
      </c>
      <c r="B100" t="s">
        <v>645</v>
      </c>
      <c r="C100" t="s">
        <v>101</v>
      </c>
      <c r="D100" t="s">
        <v>646</v>
      </c>
      <c r="E100" t="s">
        <v>51</v>
      </c>
      <c r="F100" s="1">
        <f t="shared" si="2"/>
        <v>7</v>
      </c>
      <c r="G100" t="s">
        <v>269</v>
      </c>
      <c r="H100" t="s">
        <v>25</v>
      </c>
      <c r="I100" t="s">
        <v>163</v>
      </c>
      <c r="J100" t="s">
        <v>647</v>
      </c>
      <c r="K100" t="s">
        <v>648</v>
      </c>
      <c r="L100" t="s">
        <v>649</v>
      </c>
      <c r="M100" t="s">
        <v>18</v>
      </c>
      <c r="N100" t="s">
        <v>650</v>
      </c>
    </row>
    <row r="101" spans="1:14" x14ac:dyDescent="0.2">
      <c r="A101" t="s">
        <v>651</v>
      </c>
      <c r="B101" t="s">
        <v>652</v>
      </c>
      <c r="C101" t="s">
        <v>21</v>
      </c>
      <c r="D101" t="s">
        <v>39</v>
      </c>
      <c r="E101" t="s">
        <v>33</v>
      </c>
      <c r="F101" s="1">
        <f t="shared" si="2"/>
        <v>7</v>
      </c>
      <c r="G101" t="s">
        <v>16</v>
      </c>
      <c r="H101" t="s">
        <v>17</v>
      </c>
      <c r="I101" t="s">
        <v>163</v>
      </c>
      <c r="J101" t="s">
        <v>653</v>
      </c>
      <c r="K101" t="s">
        <v>654</v>
      </c>
      <c r="L101" t="s">
        <v>655</v>
      </c>
      <c r="M101" t="s">
        <v>18</v>
      </c>
      <c r="N101" t="s">
        <v>656</v>
      </c>
    </row>
    <row r="102" spans="1:14" x14ac:dyDescent="0.2">
      <c r="A102" t="s">
        <v>658</v>
      </c>
      <c r="B102" t="s">
        <v>659</v>
      </c>
      <c r="C102" t="s">
        <v>173</v>
      </c>
      <c r="D102" t="s">
        <v>166</v>
      </c>
      <c r="E102" t="s">
        <v>156</v>
      </c>
      <c r="F102" s="1">
        <f t="shared" si="2"/>
        <v>7</v>
      </c>
      <c r="G102" t="s">
        <v>256</v>
      </c>
      <c r="H102" t="s">
        <v>25</v>
      </c>
      <c r="I102" t="s">
        <v>156</v>
      </c>
      <c r="J102" t="s">
        <v>18</v>
      </c>
      <c r="K102" t="s">
        <v>660</v>
      </c>
      <c r="L102" t="s">
        <v>661</v>
      </c>
      <c r="M102" t="s">
        <v>55</v>
      </c>
      <c r="N102" t="s">
        <v>18</v>
      </c>
    </row>
    <row r="103" spans="1:14" x14ac:dyDescent="0.2">
      <c r="A103" t="s">
        <v>662</v>
      </c>
      <c r="B103" t="s">
        <v>663</v>
      </c>
      <c r="C103" t="s">
        <v>101</v>
      </c>
      <c r="D103" t="s">
        <v>208</v>
      </c>
      <c r="E103" t="s">
        <v>188</v>
      </c>
      <c r="F103" s="1">
        <f t="shared" si="2"/>
        <v>7</v>
      </c>
      <c r="G103" t="s">
        <v>16</v>
      </c>
      <c r="H103" t="s">
        <v>17</v>
      </c>
      <c r="I103" t="s">
        <v>188</v>
      </c>
      <c r="J103" t="s">
        <v>18</v>
      </c>
      <c r="K103" t="s">
        <v>664</v>
      </c>
      <c r="L103" t="s">
        <v>665</v>
      </c>
      <c r="M103" t="s">
        <v>55</v>
      </c>
      <c r="N103" t="s">
        <v>18</v>
      </c>
    </row>
    <row r="104" spans="1:14" x14ac:dyDescent="0.2">
      <c r="A104" t="s">
        <v>667</v>
      </c>
      <c r="B104" t="s">
        <v>668</v>
      </c>
      <c r="C104" t="s">
        <v>101</v>
      </c>
      <c r="D104" t="s">
        <v>669</v>
      </c>
      <c r="E104" t="s">
        <v>156</v>
      </c>
      <c r="F104" s="1">
        <f t="shared" si="2"/>
        <v>7</v>
      </c>
      <c r="G104" t="s">
        <v>16</v>
      </c>
      <c r="H104" t="s">
        <v>17</v>
      </c>
      <c r="I104" t="s">
        <v>26</v>
      </c>
      <c r="J104" t="s">
        <v>670</v>
      </c>
      <c r="K104" t="s">
        <v>671</v>
      </c>
      <c r="L104" t="s">
        <v>672</v>
      </c>
      <c r="M104" t="s">
        <v>18</v>
      </c>
      <c r="N104" t="s">
        <v>454</v>
      </c>
    </row>
    <row r="105" spans="1:14" x14ac:dyDescent="0.2">
      <c r="A105" t="s">
        <v>673</v>
      </c>
      <c r="B105" t="s">
        <v>674</v>
      </c>
      <c r="C105" t="s">
        <v>13</v>
      </c>
      <c r="D105" t="s">
        <v>166</v>
      </c>
      <c r="E105" t="s">
        <v>69</v>
      </c>
      <c r="F105" s="1">
        <f t="shared" si="2"/>
        <v>7</v>
      </c>
      <c r="G105" t="s">
        <v>24</v>
      </c>
      <c r="H105" t="s">
        <v>25</v>
      </c>
      <c r="I105" t="s">
        <v>69</v>
      </c>
      <c r="J105" t="s">
        <v>675</v>
      </c>
      <c r="K105" t="s">
        <v>676</v>
      </c>
      <c r="L105" t="s">
        <v>677</v>
      </c>
      <c r="M105" t="s">
        <v>55</v>
      </c>
      <c r="N105" t="s">
        <v>259</v>
      </c>
    </row>
    <row r="106" spans="1:14" x14ac:dyDescent="0.2">
      <c r="A106" t="s">
        <v>678</v>
      </c>
      <c r="B106" t="s">
        <v>679</v>
      </c>
      <c r="C106" t="s">
        <v>13</v>
      </c>
      <c r="D106" t="s">
        <v>45</v>
      </c>
      <c r="E106" t="s">
        <v>195</v>
      </c>
      <c r="F106" s="1">
        <f t="shared" si="2"/>
        <v>7</v>
      </c>
      <c r="G106" t="s">
        <v>16</v>
      </c>
      <c r="H106" t="s">
        <v>25</v>
      </c>
      <c r="I106" t="s">
        <v>195</v>
      </c>
      <c r="J106" t="s">
        <v>680</v>
      </c>
      <c r="K106" t="s">
        <v>681</v>
      </c>
      <c r="L106" t="s">
        <v>682</v>
      </c>
      <c r="M106" t="s">
        <v>683</v>
      </c>
      <c r="N106" t="s">
        <v>684</v>
      </c>
    </row>
    <row r="107" spans="1:14" x14ac:dyDescent="0.2">
      <c r="A107" t="s">
        <v>685</v>
      </c>
      <c r="B107" t="s">
        <v>686</v>
      </c>
      <c r="C107" t="s">
        <v>21</v>
      </c>
      <c r="D107" t="s">
        <v>39</v>
      </c>
      <c r="E107" t="s">
        <v>69</v>
      </c>
      <c r="F107" s="1">
        <f t="shared" ref="F107:F138" si="3">MONTH(E107)</f>
        <v>7</v>
      </c>
      <c r="G107" t="s">
        <v>16</v>
      </c>
      <c r="H107" t="s">
        <v>17</v>
      </c>
      <c r="I107" t="s">
        <v>108</v>
      </c>
      <c r="J107" t="s">
        <v>687</v>
      </c>
      <c r="K107" t="s">
        <v>688</v>
      </c>
      <c r="L107" t="s">
        <v>689</v>
      </c>
      <c r="M107" t="s">
        <v>18</v>
      </c>
      <c r="N107" t="s">
        <v>690</v>
      </c>
    </row>
    <row r="108" spans="1:14" x14ac:dyDescent="0.2">
      <c r="A108" t="s">
        <v>691</v>
      </c>
      <c r="B108" t="s">
        <v>692</v>
      </c>
      <c r="C108" t="s">
        <v>42</v>
      </c>
      <c r="D108" t="s">
        <v>149</v>
      </c>
      <c r="E108" t="s">
        <v>69</v>
      </c>
      <c r="F108" s="1">
        <f t="shared" si="3"/>
        <v>7</v>
      </c>
      <c r="G108" t="s">
        <v>16</v>
      </c>
      <c r="H108" t="s">
        <v>17</v>
      </c>
      <c r="I108" t="s">
        <v>163</v>
      </c>
      <c r="J108" t="s">
        <v>693</v>
      </c>
      <c r="K108" t="s">
        <v>694</v>
      </c>
      <c r="L108" t="s">
        <v>695</v>
      </c>
      <c r="M108" t="s">
        <v>18</v>
      </c>
      <c r="N108" t="s">
        <v>696</v>
      </c>
    </row>
    <row r="109" spans="1:14" x14ac:dyDescent="0.2">
      <c r="A109" t="s">
        <v>697</v>
      </c>
      <c r="B109" t="s">
        <v>698</v>
      </c>
      <c r="C109" t="s">
        <v>21</v>
      </c>
      <c r="D109" t="s">
        <v>39</v>
      </c>
      <c r="E109" t="s">
        <v>69</v>
      </c>
      <c r="F109" s="1">
        <f t="shared" si="3"/>
        <v>7</v>
      </c>
      <c r="G109" t="s">
        <v>16</v>
      </c>
      <c r="H109" t="s">
        <v>17</v>
      </c>
      <c r="I109" t="s">
        <v>34</v>
      </c>
      <c r="J109" t="s">
        <v>699</v>
      </c>
      <c r="K109" t="s">
        <v>700</v>
      </c>
      <c r="L109" t="s">
        <v>701</v>
      </c>
      <c r="M109" t="s">
        <v>18</v>
      </c>
      <c r="N109" t="s">
        <v>702</v>
      </c>
    </row>
    <row r="110" spans="1:14" x14ac:dyDescent="0.2">
      <c r="A110" t="s">
        <v>704</v>
      </c>
      <c r="B110" t="s">
        <v>705</v>
      </c>
      <c r="C110" t="s">
        <v>101</v>
      </c>
      <c r="D110" t="s">
        <v>215</v>
      </c>
      <c r="E110" t="s">
        <v>222</v>
      </c>
      <c r="F110" s="1">
        <f t="shared" si="3"/>
        <v>7</v>
      </c>
      <c r="G110" t="s">
        <v>16</v>
      </c>
      <c r="H110" t="s">
        <v>25</v>
      </c>
      <c r="I110" t="s">
        <v>222</v>
      </c>
      <c r="J110" t="s">
        <v>18</v>
      </c>
      <c r="K110" t="s">
        <v>706</v>
      </c>
      <c r="L110" t="s">
        <v>707</v>
      </c>
      <c r="M110" t="s">
        <v>55</v>
      </c>
      <c r="N110" t="s">
        <v>18</v>
      </c>
    </row>
    <row r="111" spans="1:14" x14ac:dyDescent="0.2">
      <c r="A111" t="s">
        <v>709</v>
      </c>
      <c r="B111" t="s">
        <v>710</v>
      </c>
      <c r="C111" t="s">
        <v>21</v>
      </c>
      <c r="D111" t="s">
        <v>289</v>
      </c>
      <c r="E111" t="s">
        <v>188</v>
      </c>
      <c r="F111" s="1">
        <f t="shared" si="3"/>
        <v>7</v>
      </c>
      <c r="G111" t="s">
        <v>16</v>
      </c>
      <c r="H111" t="s">
        <v>25</v>
      </c>
      <c r="I111" t="s">
        <v>87</v>
      </c>
      <c r="J111" t="s">
        <v>711</v>
      </c>
      <c r="K111" t="s">
        <v>575</v>
      </c>
      <c r="L111" t="s">
        <v>576</v>
      </c>
      <c r="M111" t="s">
        <v>18</v>
      </c>
      <c r="N111" t="s">
        <v>712</v>
      </c>
    </row>
    <row r="112" spans="1:14" x14ac:dyDescent="0.2">
      <c r="A112" t="s">
        <v>715</v>
      </c>
      <c r="B112" t="s">
        <v>716</v>
      </c>
      <c r="C112" t="s">
        <v>101</v>
      </c>
      <c r="D112" t="s">
        <v>494</v>
      </c>
      <c r="E112" t="s">
        <v>188</v>
      </c>
      <c r="F112" s="1">
        <f t="shared" si="3"/>
        <v>7</v>
      </c>
      <c r="G112" t="s">
        <v>16</v>
      </c>
      <c r="H112" t="s">
        <v>17</v>
      </c>
      <c r="I112" t="s">
        <v>188</v>
      </c>
      <c r="J112" t="s">
        <v>18</v>
      </c>
      <c r="K112" t="s">
        <v>717</v>
      </c>
      <c r="L112" t="s">
        <v>718</v>
      </c>
      <c r="M112" t="s">
        <v>55</v>
      </c>
      <c r="N112" t="s">
        <v>18</v>
      </c>
    </row>
    <row r="113" spans="1:14" x14ac:dyDescent="0.2">
      <c r="A113" t="s">
        <v>719</v>
      </c>
      <c r="B113" t="s">
        <v>720</v>
      </c>
      <c r="C113" t="s">
        <v>173</v>
      </c>
      <c r="D113" t="s">
        <v>43</v>
      </c>
      <c r="E113" t="s">
        <v>26</v>
      </c>
      <c r="F113" s="1">
        <f t="shared" si="3"/>
        <v>7</v>
      </c>
      <c r="G113" t="s">
        <v>24</v>
      </c>
      <c r="H113" t="s">
        <v>25</v>
      </c>
      <c r="I113" t="s">
        <v>26</v>
      </c>
      <c r="J113" t="s">
        <v>721</v>
      </c>
      <c r="K113" t="s">
        <v>722</v>
      </c>
      <c r="L113" t="s">
        <v>319</v>
      </c>
      <c r="M113" t="s">
        <v>55</v>
      </c>
      <c r="N113" t="s">
        <v>55</v>
      </c>
    </row>
    <row r="114" spans="1:14" x14ac:dyDescent="0.2">
      <c r="A114" t="s">
        <v>723</v>
      </c>
      <c r="B114" t="s">
        <v>724</v>
      </c>
      <c r="C114" t="s">
        <v>21</v>
      </c>
      <c r="D114" t="s">
        <v>155</v>
      </c>
      <c r="E114" t="s">
        <v>222</v>
      </c>
      <c r="F114" s="1">
        <f t="shared" si="3"/>
        <v>7</v>
      </c>
      <c r="G114" t="s">
        <v>24</v>
      </c>
      <c r="H114" t="s">
        <v>25</v>
      </c>
      <c r="I114" t="s">
        <v>157</v>
      </c>
      <c r="J114" t="s">
        <v>725</v>
      </c>
      <c r="K114" t="s">
        <v>726</v>
      </c>
      <c r="L114" t="s">
        <v>727</v>
      </c>
      <c r="M114" t="s">
        <v>18</v>
      </c>
      <c r="N114" t="s">
        <v>728</v>
      </c>
    </row>
    <row r="115" spans="1:14" x14ac:dyDescent="0.2">
      <c r="A115" t="s">
        <v>729</v>
      </c>
      <c r="B115" t="s">
        <v>730</v>
      </c>
      <c r="C115" t="s">
        <v>21</v>
      </c>
      <c r="D115" t="s">
        <v>155</v>
      </c>
      <c r="E115" t="s">
        <v>33</v>
      </c>
      <c r="F115" s="1">
        <f t="shared" si="3"/>
        <v>7</v>
      </c>
      <c r="G115" t="s">
        <v>24</v>
      </c>
      <c r="H115" t="s">
        <v>17</v>
      </c>
      <c r="I115" t="s">
        <v>157</v>
      </c>
      <c r="J115" t="s">
        <v>731</v>
      </c>
      <c r="K115" t="s">
        <v>732</v>
      </c>
      <c r="L115" t="s">
        <v>733</v>
      </c>
      <c r="M115" t="s">
        <v>18</v>
      </c>
      <c r="N115" t="s">
        <v>346</v>
      </c>
    </row>
    <row r="116" spans="1:14" x14ac:dyDescent="0.2">
      <c r="A116" t="s">
        <v>734</v>
      </c>
      <c r="B116" t="s">
        <v>735</v>
      </c>
      <c r="C116" t="s">
        <v>21</v>
      </c>
      <c r="D116" t="s">
        <v>289</v>
      </c>
      <c r="E116" t="s">
        <v>59</v>
      </c>
      <c r="F116" s="1">
        <f t="shared" si="3"/>
        <v>7</v>
      </c>
      <c r="G116" t="s">
        <v>16</v>
      </c>
      <c r="H116" t="s">
        <v>17</v>
      </c>
      <c r="I116" t="s">
        <v>163</v>
      </c>
      <c r="J116" t="s">
        <v>736</v>
      </c>
      <c r="K116" t="s">
        <v>737</v>
      </c>
      <c r="L116" t="s">
        <v>738</v>
      </c>
      <c r="M116" t="s">
        <v>18</v>
      </c>
      <c r="N116" t="s">
        <v>643</v>
      </c>
    </row>
    <row r="117" spans="1:14" x14ac:dyDescent="0.2">
      <c r="A117" t="s">
        <v>739</v>
      </c>
      <c r="B117" t="s">
        <v>740</v>
      </c>
      <c r="C117" t="s">
        <v>101</v>
      </c>
      <c r="D117" t="s">
        <v>741</v>
      </c>
      <c r="E117" t="s">
        <v>120</v>
      </c>
      <c r="F117" s="1">
        <f t="shared" si="3"/>
        <v>7</v>
      </c>
      <c r="G117" t="s">
        <v>16</v>
      </c>
      <c r="H117" t="s">
        <v>25</v>
      </c>
      <c r="I117" t="s">
        <v>120</v>
      </c>
      <c r="J117" t="s">
        <v>742</v>
      </c>
      <c r="K117" t="s">
        <v>743</v>
      </c>
      <c r="L117" t="s">
        <v>744</v>
      </c>
      <c r="M117" t="s">
        <v>259</v>
      </c>
      <c r="N117" t="s">
        <v>139</v>
      </c>
    </row>
    <row r="118" spans="1:14" x14ac:dyDescent="0.2">
      <c r="A118" t="s">
        <v>745</v>
      </c>
      <c r="B118" t="s">
        <v>746</v>
      </c>
      <c r="C118" t="s">
        <v>21</v>
      </c>
      <c r="D118" t="s">
        <v>50</v>
      </c>
      <c r="E118" t="s">
        <v>51</v>
      </c>
      <c r="F118" s="1">
        <f t="shared" si="3"/>
        <v>7</v>
      </c>
      <c r="G118" t="s">
        <v>16</v>
      </c>
      <c r="H118" t="s">
        <v>17</v>
      </c>
      <c r="I118" t="s">
        <v>51</v>
      </c>
      <c r="J118" t="s">
        <v>747</v>
      </c>
      <c r="K118" t="s">
        <v>748</v>
      </c>
      <c r="L118" t="s">
        <v>749</v>
      </c>
      <c r="M118" t="s">
        <v>18</v>
      </c>
      <c r="N118" t="s">
        <v>81</v>
      </c>
    </row>
    <row r="119" spans="1:14" x14ac:dyDescent="0.2">
      <c r="A119" t="s">
        <v>750</v>
      </c>
      <c r="B119" t="s">
        <v>751</v>
      </c>
      <c r="C119" t="s">
        <v>13</v>
      </c>
      <c r="D119" t="s">
        <v>376</v>
      </c>
      <c r="E119" t="s">
        <v>167</v>
      </c>
      <c r="F119" s="1">
        <f t="shared" si="3"/>
        <v>7</v>
      </c>
      <c r="G119" t="s">
        <v>406</v>
      </c>
      <c r="H119" t="s">
        <v>17</v>
      </c>
      <c r="I119" t="s">
        <v>26</v>
      </c>
      <c r="J119" t="s">
        <v>752</v>
      </c>
      <c r="K119" t="s">
        <v>430</v>
      </c>
      <c r="L119" t="s">
        <v>753</v>
      </c>
      <c r="M119" t="s">
        <v>754</v>
      </c>
      <c r="N119" t="s">
        <v>623</v>
      </c>
    </row>
    <row r="120" spans="1:14" x14ac:dyDescent="0.2">
      <c r="A120" t="s">
        <v>755</v>
      </c>
      <c r="B120" t="s">
        <v>756</v>
      </c>
      <c r="C120" t="s">
        <v>13</v>
      </c>
      <c r="D120" t="s">
        <v>376</v>
      </c>
      <c r="E120" t="s">
        <v>167</v>
      </c>
      <c r="F120" s="1">
        <f t="shared" si="3"/>
        <v>7</v>
      </c>
      <c r="G120" t="s">
        <v>16</v>
      </c>
      <c r="H120" t="s">
        <v>25</v>
      </c>
      <c r="I120" t="s">
        <v>167</v>
      </c>
      <c r="J120" t="s">
        <v>18</v>
      </c>
      <c r="K120" t="s">
        <v>757</v>
      </c>
      <c r="L120" t="s">
        <v>758</v>
      </c>
      <c r="M120" t="s">
        <v>240</v>
      </c>
      <c r="N120" t="s">
        <v>18</v>
      </c>
    </row>
    <row r="121" spans="1:14" x14ac:dyDescent="0.2">
      <c r="A121" t="s">
        <v>759</v>
      </c>
      <c r="B121" t="s">
        <v>760</v>
      </c>
      <c r="C121" t="s">
        <v>101</v>
      </c>
      <c r="D121" t="s">
        <v>278</v>
      </c>
      <c r="E121" t="s">
        <v>51</v>
      </c>
      <c r="F121" s="1">
        <f t="shared" si="3"/>
        <v>7</v>
      </c>
      <c r="G121" t="s">
        <v>269</v>
      </c>
      <c r="H121" t="s">
        <v>25</v>
      </c>
      <c r="I121" t="s">
        <v>34</v>
      </c>
      <c r="J121" t="s">
        <v>761</v>
      </c>
      <c r="K121" t="s">
        <v>762</v>
      </c>
      <c r="L121" t="s">
        <v>763</v>
      </c>
      <c r="M121" t="s">
        <v>18</v>
      </c>
      <c r="N121" t="s">
        <v>30</v>
      </c>
    </row>
    <row r="122" spans="1:14" x14ac:dyDescent="0.2">
      <c r="A122" t="s">
        <v>764</v>
      </c>
      <c r="B122" t="s">
        <v>765</v>
      </c>
      <c r="C122" t="s">
        <v>101</v>
      </c>
      <c r="D122" t="s">
        <v>766</v>
      </c>
      <c r="E122" t="s">
        <v>51</v>
      </c>
      <c r="F122" s="1">
        <f t="shared" si="3"/>
        <v>7</v>
      </c>
      <c r="G122" t="s">
        <v>269</v>
      </c>
      <c r="H122" t="s">
        <v>25</v>
      </c>
      <c r="I122" t="s">
        <v>309</v>
      </c>
      <c r="J122" t="s">
        <v>767</v>
      </c>
      <c r="K122" t="s">
        <v>768</v>
      </c>
      <c r="L122" t="s">
        <v>769</v>
      </c>
      <c r="M122" t="s">
        <v>18</v>
      </c>
      <c r="N122" t="s">
        <v>55</v>
      </c>
    </row>
    <row r="123" spans="1:14" x14ac:dyDescent="0.2">
      <c r="A123" t="s">
        <v>770</v>
      </c>
      <c r="B123" t="s">
        <v>771</v>
      </c>
      <c r="C123" t="s">
        <v>42</v>
      </c>
      <c r="D123" t="s">
        <v>456</v>
      </c>
      <c r="E123" t="s">
        <v>156</v>
      </c>
      <c r="F123" s="1">
        <f t="shared" si="3"/>
        <v>7</v>
      </c>
      <c r="G123" t="s">
        <v>16</v>
      </c>
      <c r="H123" t="s">
        <v>17</v>
      </c>
      <c r="I123" t="s">
        <v>26</v>
      </c>
      <c r="J123" t="s">
        <v>772</v>
      </c>
      <c r="K123" t="s">
        <v>773</v>
      </c>
      <c r="L123" t="s">
        <v>774</v>
      </c>
      <c r="M123" t="s">
        <v>18</v>
      </c>
      <c r="N123" t="s">
        <v>454</v>
      </c>
    </row>
    <row r="124" spans="1:14" x14ac:dyDescent="0.2">
      <c r="A124" t="s">
        <v>775</v>
      </c>
      <c r="B124" t="s">
        <v>776</v>
      </c>
      <c r="C124" t="s">
        <v>13</v>
      </c>
      <c r="D124" t="s">
        <v>777</v>
      </c>
      <c r="E124" t="s">
        <v>120</v>
      </c>
      <c r="F124" s="1">
        <f t="shared" si="3"/>
        <v>7</v>
      </c>
      <c r="G124" t="s">
        <v>778</v>
      </c>
      <c r="H124" t="s">
        <v>25</v>
      </c>
      <c r="I124" t="s">
        <v>209</v>
      </c>
      <c r="J124" t="s">
        <v>779</v>
      </c>
      <c r="K124" t="s">
        <v>780</v>
      </c>
      <c r="L124" t="s">
        <v>781</v>
      </c>
      <c r="M124" t="s">
        <v>666</v>
      </c>
      <c r="N124" t="s">
        <v>265</v>
      </c>
    </row>
    <row r="125" spans="1:14" x14ac:dyDescent="0.2">
      <c r="A125" t="s">
        <v>782</v>
      </c>
      <c r="B125" t="s">
        <v>783</v>
      </c>
      <c r="C125" t="s">
        <v>173</v>
      </c>
      <c r="D125" t="s">
        <v>45</v>
      </c>
      <c r="E125" t="s">
        <v>26</v>
      </c>
      <c r="F125" s="1">
        <f t="shared" si="3"/>
        <v>7</v>
      </c>
      <c r="G125" t="s">
        <v>24</v>
      </c>
      <c r="H125" t="s">
        <v>17</v>
      </c>
      <c r="I125" t="s">
        <v>26</v>
      </c>
      <c r="J125" t="s">
        <v>18</v>
      </c>
      <c r="K125" t="s">
        <v>784</v>
      </c>
      <c r="L125" t="s">
        <v>785</v>
      </c>
      <c r="M125" t="s">
        <v>703</v>
      </c>
      <c r="N125" t="s">
        <v>18</v>
      </c>
    </row>
    <row r="126" spans="1:14" x14ac:dyDescent="0.2">
      <c r="A126" t="s">
        <v>786</v>
      </c>
      <c r="B126" t="s">
        <v>787</v>
      </c>
      <c r="C126" t="s">
        <v>21</v>
      </c>
      <c r="D126" t="s">
        <v>342</v>
      </c>
      <c r="E126" t="s">
        <v>59</v>
      </c>
      <c r="F126" s="1">
        <f t="shared" si="3"/>
        <v>7</v>
      </c>
      <c r="G126" t="s">
        <v>16</v>
      </c>
      <c r="H126" t="s">
        <v>25</v>
      </c>
      <c r="I126" t="s">
        <v>249</v>
      </c>
      <c r="J126" t="s">
        <v>788</v>
      </c>
      <c r="K126" t="s">
        <v>789</v>
      </c>
      <c r="L126" t="s">
        <v>790</v>
      </c>
      <c r="M126" t="s">
        <v>18</v>
      </c>
      <c r="N126" t="s">
        <v>346</v>
      </c>
    </row>
    <row r="127" spans="1:14" x14ac:dyDescent="0.2">
      <c r="A127" t="s">
        <v>791</v>
      </c>
      <c r="B127" t="s">
        <v>792</v>
      </c>
      <c r="C127" t="s">
        <v>101</v>
      </c>
      <c r="D127" t="s">
        <v>793</v>
      </c>
      <c r="E127" t="s">
        <v>59</v>
      </c>
      <c r="F127" s="1">
        <f t="shared" si="3"/>
        <v>7</v>
      </c>
      <c r="G127" t="s">
        <v>16</v>
      </c>
      <c r="H127" t="s">
        <v>25</v>
      </c>
      <c r="I127" t="s">
        <v>59</v>
      </c>
      <c r="J127" t="s">
        <v>18</v>
      </c>
      <c r="K127" t="s">
        <v>794</v>
      </c>
      <c r="L127" t="s">
        <v>795</v>
      </c>
      <c r="M127" t="s">
        <v>796</v>
      </c>
      <c r="N127" t="s">
        <v>18</v>
      </c>
    </row>
    <row r="128" spans="1:14" x14ac:dyDescent="0.2">
      <c r="A128" t="s">
        <v>797</v>
      </c>
      <c r="B128" t="s">
        <v>798</v>
      </c>
      <c r="C128" t="s">
        <v>101</v>
      </c>
      <c r="D128" t="s">
        <v>43</v>
      </c>
      <c r="E128" t="s">
        <v>326</v>
      </c>
      <c r="F128" s="1">
        <f t="shared" si="3"/>
        <v>7</v>
      </c>
      <c r="G128" t="s">
        <v>16</v>
      </c>
      <c r="H128" t="s">
        <v>17</v>
      </c>
      <c r="I128" t="s">
        <v>326</v>
      </c>
      <c r="J128" t="s">
        <v>18</v>
      </c>
      <c r="K128" t="s">
        <v>799</v>
      </c>
      <c r="L128" t="s">
        <v>800</v>
      </c>
      <c r="M128" t="s">
        <v>796</v>
      </c>
      <c r="N128" t="s">
        <v>18</v>
      </c>
    </row>
    <row r="129" spans="1:14" x14ac:dyDescent="0.2">
      <c r="A129" t="s">
        <v>801</v>
      </c>
      <c r="B129" t="s">
        <v>802</v>
      </c>
      <c r="C129" t="s">
        <v>21</v>
      </c>
      <c r="D129" t="s">
        <v>39</v>
      </c>
      <c r="E129" t="s">
        <v>167</v>
      </c>
      <c r="F129" s="1">
        <f t="shared" si="3"/>
        <v>7</v>
      </c>
      <c r="G129" t="s">
        <v>16</v>
      </c>
      <c r="H129" t="s">
        <v>17</v>
      </c>
      <c r="I129" t="s">
        <v>167</v>
      </c>
      <c r="J129" t="s">
        <v>803</v>
      </c>
      <c r="K129" t="s">
        <v>804</v>
      </c>
      <c r="L129" t="s">
        <v>805</v>
      </c>
      <c r="M129" t="s">
        <v>18</v>
      </c>
      <c r="N129" t="s">
        <v>259</v>
      </c>
    </row>
    <row r="130" spans="1:14" x14ac:dyDescent="0.2">
      <c r="A130" t="s">
        <v>806</v>
      </c>
      <c r="B130" t="s">
        <v>807</v>
      </c>
      <c r="C130" t="s">
        <v>21</v>
      </c>
      <c r="D130" t="s">
        <v>77</v>
      </c>
      <c r="E130" t="s">
        <v>23</v>
      </c>
      <c r="F130" s="1">
        <f t="shared" si="3"/>
        <v>7</v>
      </c>
      <c r="G130" t="s">
        <v>395</v>
      </c>
      <c r="H130" t="s">
        <v>60</v>
      </c>
      <c r="I130" t="s">
        <v>23</v>
      </c>
      <c r="J130" t="s">
        <v>808</v>
      </c>
      <c r="K130" t="s">
        <v>18</v>
      </c>
      <c r="L130" t="s">
        <v>397</v>
      </c>
      <c r="M130" t="s">
        <v>18</v>
      </c>
      <c r="N130" t="s">
        <v>18</v>
      </c>
    </row>
    <row r="131" spans="1:14" x14ac:dyDescent="0.2">
      <c r="A131" t="s">
        <v>809</v>
      </c>
      <c r="B131" t="s">
        <v>810</v>
      </c>
      <c r="C131" t="s">
        <v>173</v>
      </c>
      <c r="D131" t="s">
        <v>215</v>
      </c>
      <c r="E131" t="s">
        <v>120</v>
      </c>
      <c r="F131" s="1">
        <f t="shared" si="3"/>
        <v>7</v>
      </c>
      <c r="G131" t="s">
        <v>16</v>
      </c>
      <c r="H131" t="s">
        <v>25</v>
      </c>
      <c r="I131" t="s">
        <v>120</v>
      </c>
      <c r="J131" t="s">
        <v>18</v>
      </c>
      <c r="K131" t="s">
        <v>811</v>
      </c>
      <c r="L131" t="s">
        <v>812</v>
      </c>
      <c r="M131" t="s">
        <v>813</v>
      </c>
      <c r="N131" t="s">
        <v>18</v>
      </c>
    </row>
    <row r="132" spans="1:14" x14ac:dyDescent="0.2">
      <c r="A132" t="s">
        <v>814</v>
      </c>
      <c r="B132" t="s">
        <v>815</v>
      </c>
      <c r="C132" t="s">
        <v>173</v>
      </c>
      <c r="D132" t="s">
        <v>793</v>
      </c>
      <c r="E132" t="s">
        <v>249</v>
      </c>
      <c r="F132" s="1">
        <f t="shared" si="3"/>
        <v>7</v>
      </c>
      <c r="G132" t="s">
        <v>16</v>
      </c>
      <c r="H132" t="s">
        <v>25</v>
      </c>
      <c r="I132" t="s">
        <v>249</v>
      </c>
      <c r="J132" t="s">
        <v>18</v>
      </c>
      <c r="K132" t="s">
        <v>816</v>
      </c>
      <c r="L132" t="s">
        <v>817</v>
      </c>
      <c r="M132" t="s">
        <v>218</v>
      </c>
      <c r="N132" t="s">
        <v>18</v>
      </c>
    </row>
    <row r="133" spans="1:14" x14ac:dyDescent="0.2">
      <c r="A133" t="s">
        <v>818</v>
      </c>
      <c r="B133" t="s">
        <v>819</v>
      </c>
      <c r="C133" t="s">
        <v>21</v>
      </c>
      <c r="D133" t="s">
        <v>39</v>
      </c>
      <c r="E133" t="s">
        <v>51</v>
      </c>
      <c r="F133" s="1">
        <f t="shared" si="3"/>
        <v>7</v>
      </c>
      <c r="G133" t="s">
        <v>24</v>
      </c>
      <c r="H133" t="s">
        <v>25</v>
      </c>
      <c r="I133" t="s">
        <v>61</v>
      </c>
      <c r="J133" t="s">
        <v>820</v>
      </c>
      <c r="K133" t="s">
        <v>821</v>
      </c>
      <c r="L133" t="s">
        <v>822</v>
      </c>
      <c r="M133" t="s">
        <v>18</v>
      </c>
      <c r="N133" t="s">
        <v>481</v>
      </c>
    </row>
    <row r="134" spans="1:14" x14ac:dyDescent="0.2">
      <c r="A134" t="s">
        <v>823</v>
      </c>
      <c r="B134" t="s">
        <v>824</v>
      </c>
      <c r="C134" t="s">
        <v>21</v>
      </c>
      <c r="D134" t="s">
        <v>155</v>
      </c>
      <c r="E134" t="s">
        <v>23</v>
      </c>
      <c r="F134" s="1">
        <f t="shared" si="3"/>
        <v>7</v>
      </c>
      <c r="G134" t="s">
        <v>269</v>
      </c>
      <c r="H134" t="s">
        <v>25</v>
      </c>
      <c r="I134" t="s">
        <v>59</v>
      </c>
      <c r="J134" t="s">
        <v>825</v>
      </c>
      <c r="K134" t="s">
        <v>826</v>
      </c>
      <c r="L134" t="s">
        <v>827</v>
      </c>
      <c r="M134" t="s">
        <v>18</v>
      </c>
      <c r="N134" t="s">
        <v>107</v>
      </c>
    </row>
    <row r="135" spans="1:14" x14ac:dyDescent="0.2">
      <c r="A135" t="s">
        <v>829</v>
      </c>
      <c r="B135" t="s">
        <v>830</v>
      </c>
      <c r="C135" t="s">
        <v>173</v>
      </c>
      <c r="D135" t="s">
        <v>43</v>
      </c>
      <c r="E135" t="s">
        <v>195</v>
      </c>
      <c r="F135" s="1">
        <f t="shared" si="3"/>
        <v>7</v>
      </c>
      <c r="G135" t="s">
        <v>16</v>
      </c>
      <c r="H135" t="s">
        <v>25</v>
      </c>
      <c r="I135" t="s">
        <v>195</v>
      </c>
      <c r="J135" t="s">
        <v>18</v>
      </c>
      <c r="K135" t="s">
        <v>302</v>
      </c>
      <c r="L135" t="s">
        <v>831</v>
      </c>
      <c r="M135" t="s">
        <v>832</v>
      </c>
      <c r="N135" t="s">
        <v>18</v>
      </c>
    </row>
    <row r="136" spans="1:14" x14ac:dyDescent="0.2">
      <c r="A136" t="s">
        <v>833</v>
      </c>
      <c r="B136" t="s">
        <v>834</v>
      </c>
      <c r="C136" t="s">
        <v>173</v>
      </c>
      <c r="D136" t="s">
        <v>436</v>
      </c>
      <c r="E136" t="s">
        <v>156</v>
      </c>
      <c r="F136" s="1">
        <f t="shared" si="3"/>
        <v>7</v>
      </c>
      <c r="G136" t="s">
        <v>16</v>
      </c>
      <c r="H136" t="s">
        <v>25</v>
      </c>
      <c r="I136" t="s">
        <v>156</v>
      </c>
      <c r="J136" t="s">
        <v>18</v>
      </c>
      <c r="K136" t="s">
        <v>835</v>
      </c>
      <c r="L136" t="s">
        <v>836</v>
      </c>
      <c r="M136" t="s">
        <v>339</v>
      </c>
      <c r="N136" t="s">
        <v>18</v>
      </c>
    </row>
    <row r="137" spans="1:14" x14ac:dyDescent="0.2">
      <c r="A137" t="s">
        <v>837</v>
      </c>
      <c r="B137" t="s">
        <v>838</v>
      </c>
      <c r="C137" t="s">
        <v>101</v>
      </c>
      <c r="D137" t="s">
        <v>325</v>
      </c>
      <c r="E137" t="s">
        <v>156</v>
      </c>
      <c r="F137" s="1">
        <f t="shared" si="3"/>
        <v>7</v>
      </c>
      <c r="G137" t="s">
        <v>24</v>
      </c>
      <c r="H137" t="s">
        <v>17</v>
      </c>
      <c r="I137" t="s">
        <v>249</v>
      </c>
      <c r="J137" t="s">
        <v>839</v>
      </c>
      <c r="K137" t="s">
        <v>840</v>
      </c>
      <c r="L137" t="s">
        <v>841</v>
      </c>
      <c r="M137" t="s">
        <v>18</v>
      </c>
      <c r="N137" t="s">
        <v>842</v>
      </c>
    </row>
    <row r="138" spans="1:14" x14ac:dyDescent="0.2">
      <c r="A138" t="s">
        <v>843</v>
      </c>
      <c r="B138" t="s">
        <v>844</v>
      </c>
      <c r="C138" t="s">
        <v>173</v>
      </c>
      <c r="D138" t="s">
        <v>464</v>
      </c>
      <c r="E138" t="s">
        <v>33</v>
      </c>
      <c r="F138" s="1">
        <f t="shared" si="3"/>
        <v>7</v>
      </c>
      <c r="G138" t="s">
        <v>16</v>
      </c>
      <c r="H138" t="s">
        <v>17</v>
      </c>
      <c r="I138" t="s">
        <v>33</v>
      </c>
      <c r="J138" t="s">
        <v>18</v>
      </c>
      <c r="K138" t="s">
        <v>845</v>
      </c>
      <c r="L138" t="s">
        <v>846</v>
      </c>
      <c r="M138" t="s">
        <v>590</v>
      </c>
      <c r="N138" t="s">
        <v>18</v>
      </c>
    </row>
    <row r="139" spans="1:14" x14ac:dyDescent="0.2">
      <c r="A139" t="s">
        <v>847</v>
      </c>
      <c r="B139" t="s">
        <v>848</v>
      </c>
      <c r="C139" t="s">
        <v>849</v>
      </c>
      <c r="D139" t="s">
        <v>850</v>
      </c>
      <c r="E139" t="s">
        <v>120</v>
      </c>
      <c r="F139" s="1">
        <f t="shared" ref="F139:F161" si="4">MONTH(E139)</f>
        <v>7</v>
      </c>
      <c r="G139" t="s">
        <v>16</v>
      </c>
      <c r="H139" t="s">
        <v>60</v>
      </c>
      <c r="I139" t="s">
        <v>120</v>
      </c>
      <c r="J139" t="s">
        <v>851</v>
      </c>
      <c r="K139" t="s">
        <v>852</v>
      </c>
      <c r="L139" t="s">
        <v>853</v>
      </c>
      <c r="M139" t="s">
        <v>18</v>
      </c>
      <c r="N139" t="s">
        <v>713</v>
      </c>
    </row>
    <row r="140" spans="1:14" x14ac:dyDescent="0.2">
      <c r="A140" t="s">
        <v>847</v>
      </c>
      <c r="B140" t="s">
        <v>854</v>
      </c>
      <c r="C140" t="s">
        <v>21</v>
      </c>
      <c r="D140" t="s">
        <v>855</v>
      </c>
      <c r="E140" t="s">
        <v>188</v>
      </c>
      <c r="F140" s="1">
        <f t="shared" si="4"/>
        <v>7</v>
      </c>
      <c r="G140" t="s">
        <v>16</v>
      </c>
      <c r="H140" t="s">
        <v>17</v>
      </c>
      <c r="I140" t="s">
        <v>51</v>
      </c>
      <c r="J140" t="s">
        <v>856</v>
      </c>
      <c r="K140" t="s">
        <v>857</v>
      </c>
      <c r="L140" t="s">
        <v>858</v>
      </c>
      <c r="M140" t="s">
        <v>18</v>
      </c>
      <c r="N140" t="s">
        <v>859</v>
      </c>
    </row>
    <row r="141" spans="1:14" x14ac:dyDescent="0.2">
      <c r="A141" t="s">
        <v>860</v>
      </c>
      <c r="B141" t="s">
        <v>861</v>
      </c>
      <c r="C141" t="s">
        <v>13</v>
      </c>
      <c r="D141" t="s">
        <v>237</v>
      </c>
      <c r="E141" t="s">
        <v>33</v>
      </c>
      <c r="F141" s="1">
        <f t="shared" si="4"/>
        <v>7</v>
      </c>
      <c r="G141" t="s">
        <v>24</v>
      </c>
      <c r="H141" t="s">
        <v>17</v>
      </c>
      <c r="I141" t="s">
        <v>33</v>
      </c>
      <c r="J141" t="s">
        <v>862</v>
      </c>
      <c r="K141" t="s">
        <v>863</v>
      </c>
      <c r="L141" t="s">
        <v>864</v>
      </c>
      <c r="M141" t="s">
        <v>55</v>
      </c>
      <c r="N141" t="s">
        <v>55</v>
      </c>
    </row>
    <row r="142" spans="1:14" x14ac:dyDescent="0.2">
      <c r="A142" t="s">
        <v>865</v>
      </c>
      <c r="B142" t="s">
        <v>866</v>
      </c>
      <c r="C142" t="s">
        <v>21</v>
      </c>
      <c r="D142" t="s">
        <v>342</v>
      </c>
      <c r="E142" t="s">
        <v>156</v>
      </c>
      <c r="F142" s="1">
        <f t="shared" si="4"/>
        <v>7</v>
      </c>
      <c r="G142" t="s">
        <v>24</v>
      </c>
      <c r="H142" t="s">
        <v>17</v>
      </c>
      <c r="I142" t="s">
        <v>332</v>
      </c>
      <c r="J142" t="s">
        <v>867</v>
      </c>
      <c r="K142" t="s">
        <v>868</v>
      </c>
      <c r="L142" t="s">
        <v>869</v>
      </c>
      <c r="M142" t="s">
        <v>18</v>
      </c>
      <c r="N142" t="s">
        <v>859</v>
      </c>
    </row>
    <row r="143" spans="1:14" x14ac:dyDescent="0.2">
      <c r="A143" t="s">
        <v>870</v>
      </c>
      <c r="B143" t="s">
        <v>871</v>
      </c>
      <c r="C143" t="s">
        <v>13</v>
      </c>
      <c r="D143" t="s">
        <v>872</v>
      </c>
      <c r="E143" t="s">
        <v>26</v>
      </c>
      <c r="F143" s="1">
        <f t="shared" si="4"/>
        <v>7</v>
      </c>
      <c r="G143" t="s">
        <v>24</v>
      </c>
      <c r="H143" t="s">
        <v>17</v>
      </c>
      <c r="I143" t="s">
        <v>222</v>
      </c>
      <c r="J143" t="s">
        <v>873</v>
      </c>
      <c r="K143" t="s">
        <v>874</v>
      </c>
      <c r="L143" t="s">
        <v>875</v>
      </c>
      <c r="M143" t="s">
        <v>813</v>
      </c>
      <c r="N143" t="s">
        <v>139</v>
      </c>
    </row>
    <row r="144" spans="1:14" x14ac:dyDescent="0.2">
      <c r="A144" t="s">
        <v>876</v>
      </c>
      <c r="B144" t="s">
        <v>877</v>
      </c>
      <c r="C144" t="s">
        <v>21</v>
      </c>
      <c r="D144" t="s">
        <v>39</v>
      </c>
      <c r="E144" t="s">
        <v>188</v>
      </c>
      <c r="F144" s="1">
        <f t="shared" si="4"/>
        <v>7</v>
      </c>
      <c r="G144" t="s">
        <v>16</v>
      </c>
      <c r="H144" t="s">
        <v>17</v>
      </c>
      <c r="I144" t="s">
        <v>103</v>
      </c>
      <c r="J144" t="s">
        <v>878</v>
      </c>
      <c r="K144" t="s">
        <v>879</v>
      </c>
      <c r="L144" t="s">
        <v>880</v>
      </c>
      <c r="M144" t="s">
        <v>18</v>
      </c>
      <c r="N144" t="s">
        <v>881</v>
      </c>
    </row>
    <row r="145" spans="1:14" x14ac:dyDescent="0.2">
      <c r="A145" t="s">
        <v>883</v>
      </c>
      <c r="B145" t="s">
        <v>884</v>
      </c>
      <c r="C145" t="s">
        <v>173</v>
      </c>
      <c r="D145" t="s">
        <v>215</v>
      </c>
      <c r="E145" t="s">
        <v>249</v>
      </c>
      <c r="F145" s="1">
        <f t="shared" si="4"/>
        <v>7</v>
      </c>
      <c r="G145" t="s">
        <v>16</v>
      </c>
      <c r="H145" t="s">
        <v>17</v>
      </c>
      <c r="I145" t="s">
        <v>249</v>
      </c>
      <c r="J145" t="s">
        <v>18</v>
      </c>
      <c r="K145" t="s">
        <v>885</v>
      </c>
      <c r="L145" t="s">
        <v>886</v>
      </c>
      <c r="M145" t="s">
        <v>55</v>
      </c>
      <c r="N145" t="s">
        <v>18</v>
      </c>
    </row>
    <row r="146" spans="1:14" x14ac:dyDescent="0.2">
      <c r="A146" t="s">
        <v>887</v>
      </c>
      <c r="B146" t="s">
        <v>888</v>
      </c>
      <c r="C146" t="s">
        <v>173</v>
      </c>
      <c r="D146" t="s">
        <v>215</v>
      </c>
      <c r="E146" t="s">
        <v>135</v>
      </c>
      <c r="F146" s="1">
        <f t="shared" si="4"/>
        <v>7</v>
      </c>
      <c r="G146" t="s">
        <v>16</v>
      </c>
      <c r="H146" t="s">
        <v>17</v>
      </c>
      <c r="I146" t="s">
        <v>135</v>
      </c>
      <c r="J146" t="s">
        <v>18</v>
      </c>
      <c r="K146" t="s">
        <v>889</v>
      </c>
      <c r="L146" t="s">
        <v>890</v>
      </c>
      <c r="M146" t="s">
        <v>339</v>
      </c>
      <c r="N146" t="s">
        <v>18</v>
      </c>
    </row>
    <row r="147" spans="1:14" x14ac:dyDescent="0.2">
      <c r="A147" t="s">
        <v>891</v>
      </c>
      <c r="B147" t="s">
        <v>892</v>
      </c>
      <c r="C147" t="s">
        <v>101</v>
      </c>
      <c r="D147" t="s">
        <v>669</v>
      </c>
      <c r="E147" t="s">
        <v>51</v>
      </c>
      <c r="F147" s="1">
        <f t="shared" si="4"/>
        <v>7</v>
      </c>
      <c r="G147" t="s">
        <v>16</v>
      </c>
      <c r="H147" t="s">
        <v>25</v>
      </c>
      <c r="I147" t="s">
        <v>322</v>
      </c>
      <c r="J147" t="s">
        <v>893</v>
      </c>
      <c r="K147" t="s">
        <v>894</v>
      </c>
      <c r="L147" t="s">
        <v>895</v>
      </c>
      <c r="M147" t="s">
        <v>18</v>
      </c>
      <c r="N147" t="s">
        <v>433</v>
      </c>
    </row>
    <row r="148" spans="1:14" x14ac:dyDescent="0.2">
      <c r="A148" t="s">
        <v>896</v>
      </c>
      <c r="B148" t="s">
        <v>897</v>
      </c>
      <c r="C148" t="s">
        <v>13</v>
      </c>
      <c r="D148" t="s">
        <v>228</v>
      </c>
      <c r="E148" t="s">
        <v>51</v>
      </c>
      <c r="F148" s="1">
        <f t="shared" si="4"/>
        <v>7</v>
      </c>
      <c r="G148" t="s">
        <v>16</v>
      </c>
      <c r="H148" t="s">
        <v>17</v>
      </c>
      <c r="I148" t="s">
        <v>135</v>
      </c>
      <c r="J148" t="s">
        <v>898</v>
      </c>
      <c r="K148" t="s">
        <v>899</v>
      </c>
      <c r="L148" t="s">
        <v>900</v>
      </c>
      <c r="M148" t="s">
        <v>583</v>
      </c>
      <c r="N148" t="s">
        <v>901</v>
      </c>
    </row>
    <row r="149" spans="1:14" x14ac:dyDescent="0.2">
      <c r="A149" t="s">
        <v>903</v>
      </c>
      <c r="B149" t="s">
        <v>904</v>
      </c>
      <c r="C149" t="s">
        <v>173</v>
      </c>
      <c r="D149" t="s">
        <v>436</v>
      </c>
      <c r="E149" t="s">
        <v>222</v>
      </c>
      <c r="F149" s="1">
        <f t="shared" si="4"/>
        <v>7</v>
      </c>
      <c r="G149" t="s">
        <v>256</v>
      </c>
      <c r="H149" t="s">
        <v>17</v>
      </c>
      <c r="I149" t="s">
        <v>222</v>
      </c>
      <c r="J149" t="s">
        <v>18</v>
      </c>
      <c r="K149" t="s">
        <v>905</v>
      </c>
      <c r="L149" t="s">
        <v>906</v>
      </c>
      <c r="M149" t="s">
        <v>907</v>
      </c>
      <c r="N149" t="s">
        <v>18</v>
      </c>
    </row>
    <row r="150" spans="1:14" x14ac:dyDescent="0.2">
      <c r="A150" t="s">
        <v>908</v>
      </c>
      <c r="B150" t="s">
        <v>909</v>
      </c>
      <c r="C150" t="s">
        <v>101</v>
      </c>
      <c r="D150" t="s">
        <v>321</v>
      </c>
      <c r="E150" t="s">
        <v>51</v>
      </c>
      <c r="F150" s="1">
        <f t="shared" si="4"/>
        <v>7</v>
      </c>
      <c r="G150" t="s">
        <v>16</v>
      </c>
      <c r="H150" t="s">
        <v>25</v>
      </c>
      <c r="I150" t="s">
        <v>322</v>
      </c>
      <c r="J150" t="s">
        <v>910</v>
      </c>
      <c r="K150" t="s">
        <v>911</v>
      </c>
      <c r="L150" t="s">
        <v>912</v>
      </c>
      <c r="M150" t="s">
        <v>18</v>
      </c>
      <c r="N150" t="s">
        <v>913</v>
      </c>
    </row>
    <row r="151" spans="1:14" x14ac:dyDescent="0.2">
      <c r="A151" t="s">
        <v>914</v>
      </c>
      <c r="B151" t="s">
        <v>915</v>
      </c>
      <c r="C151" t="s">
        <v>173</v>
      </c>
      <c r="D151" t="s">
        <v>43</v>
      </c>
      <c r="E151" t="s">
        <v>188</v>
      </c>
      <c r="F151" s="1">
        <f t="shared" si="4"/>
        <v>7</v>
      </c>
      <c r="G151" t="s">
        <v>269</v>
      </c>
      <c r="H151" t="s">
        <v>25</v>
      </c>
      <c r="I151" t="s">
        <v>188</v>
      </c>
      <c r="J151" t="s">
        <v>916</v>
      </c>
      <c r="K151" t="s">
        <v>917</v>
      </c>
      <c r="L151" t="s">
        <v>918</v>
      </c>
      <c r="M151" t="s">
        <v>55</v>
      </c>
      <c r="N151" t="s">
        <v>81</v>
      </c>
    </row>
    <row r="152" spans="1:14" x14ac:dyDescent="0.2">
      <c r="A152" t="s">
        <v>919</v>
      </c>
      <c r="B152" t="s">
        <v>920</v>
      </c>
      <c r="C152" t="s">
        <v>173</v>
      </c>
      <c r="D152" t="s">
        <v>793</v>
      </c>
      <c r="E152" t="s">
        <v>59</v>
      </c>
      <c r="F152" s="1">
        <f t="shared" si="4"/>
        <v>7</v>
      </c>
      <c r="G152" t="s">
        <v>16</v>
      </c>
      <c r="H152" t="s">
        <v>17</v>
      </c>
      <c r="I152" t="s">
        <v>59</v>
      </c>
      <c r="J152" t="s">
        <v>18</v>
      </c>
      <c r="K152" t="s">
        <v>921</v>
      </c>
      <c r="L152" t="s">
        <v>922</v>
      </c>
      <c r="M152" t="s">
        <v>923</v>
      </c>
      <c r="N152" t="s">
        <v>18</v>
      </c>
    </row>
    <row r="153" spans="1:14" x14ac:dyDescent="0.2">
      <c r="A153" t="s">
        <v>924</v>
      </c>
      <c r="B153" t="s">
        <v>925</v>
      </c>
      <c r="C153" t="s">
        <v>173</v>
      </c>
      <c r="D153" t="s">
        <v>215</v>
      </c>
      <c r="E153" t="s">
        <v>195</v>
      </c>
      <c r="F153" s="1">
        <f t="shared" si="4"/>
        <v>7</v>
      </c>
      <c r="G153" t="s">
        <v>16</v>
      </c>
      <c r="H153" t="s">
        <v>17</v>
      </c>
      <c r="I153" t="s">
        <v>195</v>
      </c>
      <c r="J153" t="s">
        <v>926</v>
      </c>
      <c r="K153" t="s">
        <v>927</v>
      </c>
      <c r="L153" t="s">
        <v>928</v>
      </c>
      <c r="M153" t="s">
        <v>577</v>
      </c>
      <c r="N153" t="s">
        <v>124</v>
      </c>
    </row>
    <row r="154" spans="1:14" x14ac:dyDescent="0.2">
      <c r="A154" t="s">
        <v>929</v>
      </c>
      <c r="B154" t="s">
        <v>930</v>
      </c>
      <c r="C154" t="s">
        <v>13</v>
      </c>
      <c r="D154" t="s">
        <v>208</v>
      </c>
      <c r="E154" t="s">
        <v>222</v>
      </c>
      <c r="F154" s="1">
        <f t="shared" si="4"/>
        <v>7</v>
      </c>
      <c r="G154" t="s">
        <v>16</v>
      </c>
      <c r="H154" t="s">
        <v>25</v>
      </c>
      <c r="I154" t="s">
        <v>222</v>
      </c>
      <c r="J154" t="s">
        <v>18</v>
      </c>
      <c r="K154" t="s">
        <v>931</v>
      </c>
      <c r="L154" t="s">
        <v>932</v>
      </c>
      <c r="M154" t="s">
        <v>55</v>
      </c>
      <c r="N154" t="s">
        <v>18</v>
      </c>
    </row>
    <row r="155" spans="1:14" x14ac:dyDescent="0.2">
      <c r="A155" t="s">
        <v>933</v>
      </c>
      <c r="B155" t="s">
        <v>934</v>
      </c>
      <c r="C155" t="s">
        <v>173</v>
      </c>
      <c r="D155" t="s">
        <v>793</v>
      </c>
      <c r="E155" t="s">
        <v>135</v>
      </c>
      <c r="F155" s="1">
        <f t="shared" si="4"/>
        <v>7</v>
      </c>
      <c r="G155" t="s">
        <v>16</v>
      </c>
      <c r="H155" t="s">
        <v>25</v>
      </c>
      <c r="I155" t="s">
        <v>135</v>
      </c>
      <c r="J155" t="s">
        <v>18</v>
      </c>
      <c r="K155" t="s">
        <v>935</v>
      </c>
      <c r="L155" t="s">
        <v>936</v>
      </c>
      <c r="M155" t="s">
        <v>339</v>
      </c>
      <c r="N155" t="s">
        <v>18</v>
      </c>
    </row>
    <row r="156" spans="1:14" x14ac:dyDescent="0.2">
      <c r="A156" t="s">
        <v>937</v>
      </c>
      <c r="B156" t="s">
        <v>938</v>
      </c>
      <c r="C156" t="s">
        <v>101</v>
      </c>
      <c r="D156" t="s">
        <v>199</v>
      </c>
      <c r="E156" t="s">
        <v>69</v>
      </c>
      <c r="F156" s="1">
        <f t="shared" si="4"/>
        <v>7</v>
      </c>
      <c r="G156" t="s">
        <v>16</v>
      </c>
      <c r="H156" t="s">
        <v>17</v>
      </c>
      <c r="I156" t="s">
        <v>69</v>
      </c>
      <c r="J156" t="s">
        <v>18</v>
      </c>
      <c r="K156" t="s">
        <v>939</v>
      </c>
      <c r="L156" t="s">
        <v>940</v>
      </c>
      <c r="M156" t="s">
        <v>55</v>
      </c>
      <c r="N156" t="s">
        <v>18</v>
      </c>
    </row>
    <row r="157" spans="1:14" x14ac:dyDescent="0.2">
      <c r="A157" t="s">
        <v>941</v>
      </c>
      <c r="B157" t="s">
        <v>942</v>
      </c>
      <c r="C157" t="s">
        <v>21</v>
      </c>
      <c r="D157" t="s">
        <v>77</v>
      </c>
      <c r="E157" t="s">
        <v>156</v>
      </c>
      <c r="F157" s="1">
        <f t="shared" si="4"/>
        <v>7</v>
      </c>
      <c r="G157" t="s">
        <v>16</v>
      </c>
      <c r="H157" t="s">
        <v>17</v>
      </c>
      <c r="I157" t="s">
        <v>157</v>
      </c>
      <c r="J157" t="s">
        <v>943</v>
      </c>
      <c r="K157" t="s">
        <v>944</v>
      </c>
      <c r="L157" t="s">
        <v>945</v>
      </c>
      <c r="M157" t="s">
        <v>18</v>
      </c>
      <c r="N157" t="s">
        <v>227</v>
      </c>
    </row>
    <row r="158" spans="1:14" x14ac:dyDescent="0.2">
      <c r="A158" t="s">
        <v>946</v>
      </c>
      <c r="B158" t="s">
        <v>947</v>
      </c>
      <c r="C158" t="s">
        <v>42</v>
      </c>
      <c r="D158" t="s">
        <v>657</v>
      </c>
      <c r="E158" t="s">
        <v>209</v>
      </c>
      <c r="F158" s="1">
        <f t="shared" si="4"/>
        <v>7</v>
      </c>
      <c r="G158" t="s">
        <v>16</v>
      </c>
      <c r="H158" t="s">
        <v>17</v>
      </c>
      <c r="I158" t="s">
        <v>209</v>
      </c>
      <c r="J158" t="s">
        <v>948</v>
      </c>
      <c r="K158" t="s">
        <v>949</v>
      </c>
      <c r="L158" t="s">
        <v>950</v>
      </c>
      <c r="M158" t="s">
        <v>18</v>
      </c>
      <c r="N158" t="s">
        <v>285</v>
      </c>
    </row>
    <row r="159" spans="1:14" x14ac:dyDescent="0.2">
      <c r="A159" t="s">
        <v>951</v>
      </c>
      <c r="B159" t="s">
        <v>952</v>
      </c>
      <c r="C159" t="s">
        <v>21</v>
      </c>
      <c r="D159" t="s">
        <v>77</v>
      </c>
      <c r="E159" t="s">
        <v>222</v>
      </c>
      <c r="F159" s="1">
        <f t="shared" si="4"/>
        <v>7</v>
      </c>
      <c r="G159" t="s">
        <v>395</v>
      </c>
      <c r="H159" t="s">
        <v>60</v>
      </c>
      <c r="I159" t="s">
        <v>222</v>
      </c>
      <c r="J159" t="s">
        <v>953</v>
      </c>
      <c r="K159" t="s">
        <v>18</v>
      </c>
      <c r="L159" t="s">
        <v>397</v>
      </c>
      <c r="M159" t="s">
        <v>18</v>
      </c>
      <c r="N159" t="s">
        <v>18</v>
      </c>
    </row>
    <row r="160" spans="1:14" x14ac:dyDescent="0.2">
      <c r="A160" t="s">
        <v>954</v>
      </c>
      <c r="B160" t="s">
        <v>955</v>
      </c>
      <c r="C160" t="s">
        <v>101</v>
      </c>
      <c r="D160" t="s">
        <v>278</v>
      </c>
      <c r="E160" t="s">
        <v>188</v>
      </c>
      <c r="F160" s="1">
        <f t="shared" si="4"/>
        <v>7</v>
      </c>
      <c r="G160" t="s">
        <v>16</v>
      </c>
      <c r="H160" t="s">
        <v>17</v>
      </c>
      <c r="I160" t="s">
        <v>70</v>
      </c>
      <c r="J160" t="s">
        <v>956</v>
      </c>
      <c r="K160" t="s">
        <v>957</v>
      </c>
      <c r="L160" t="s">
        <v>636</v>
      </c>
      <c r="M160" t="s">
        <v>18</v>
      </c>
      <c r="N160" t="s">
        <v>98</v>
      </c>
    </row>
    <row r="161" spans="1:14" x14ac:dyDescent="0.2">
      <c r="A161" t="s">
        <v>958</v>
      </c>
      <c r="B161" t="s">
        <v>959</v>
      </c>
      <c r="C161" t="s">
        <v>173</v>
      </c>
      <c r="D161" t="s">
        <v>436</v>
      </c>
      <c r="E161" t="s">
        <v>222</v>
      </c>
      <c r="F161" s="1">
        <f t="shared" si="4"/>
        <v>7</v>
      </c>
      <c r="G161" t="s">
        <v>256</v>
      </c>
      <c r="H161" t="s">
        <v>25</v>
      </c>
      <c r="I161" t="s">
        <v>222</v>
      </c>
      <c r="J161" t="s">
        <v>18</v>
      </c>
      <c r="K161" t="s">
        <v>960</v>
      </c>
      <c r="L161" t="s">
        <v>961</v>
      </c>
      <c r="M161" t="s">
        <v>55</v>
      </c>
      <c r="N161" t="s">
        <v>18</v>
      </c>
    </row>
    <row r="162" spans="1:14" x14ac:dyDescent="0.2">
      <c r="A162" t="s">
        <v>962</v>
      </c>
      <c r="B162" t="s">
        <v>963</v>
      </c>
      <c r="C162" t="s">
        <v>101</v>
      </c>
      <c r="D162" t="s">
        <v>325</v>
      </c>
      <c r="E162" t="s">
        <v>51</v>
      </c>
      <c r="F162" s="1">
        <f t="shared" ref="F162:F193" si="5">MONTH(E162)</f>
        <v>7</v>
      </c>
      <c r="G162" t="s">
        <v>24</v>
      </c>
      <c r="H162" t="s">
        <v>25</v>
      </c>
      <c r="I162" t="s">
        <v>103</v>
      </c>
      <c r="J162" t="s">
        <v>964</v>
      </c>
      <c r="K162" t="s">
        <v>965</v>
      </c>
      <c r="L162" t="s">
        <v>160</v>
      </c>
      <c r="M162" t="s">
        <v>18</v>
      </c>
      <c r="N162" t="s">
        <v>81</v>
      </c>
    </row>
    <row r="163" spans="1:14" x14ac:dyDescent="0.2">
      <c r="A163" t="s">
        <v>966</v>
      </c>
      <c r="B163" t="s">
        <v>967</v>
      </c>
      <c r="C163" t="s">
        <v>13</v>
      </c>
      <c r="D163" t="s">
        <v>237</v>
      </c>
      <c r="E163" t="s">
        <v>167</v>
      </c>
      <c r="F163" s="1">
        <f t="shared" si="5"/>
        <v>7</v>
      </c>
      <c r="G163" t="s">
        <v>406</v>
      </c>
      <c r="H163" t="s">
        <v>17</v>
      </c>
      <c r="I163" t="s">
        <v>209</v>
      </c>
      <c r="J163" t="s">
        <v>968</v>
      </c>
      <c r="K163" t="s">
        <v>969</v>
      </c>
      <c r="L163" t="s">
        <v>970</v>
      </c>
      <c r="M163" t="s">
        <v>971</v>
      </c>
      <c r="N163" t="s">
        <v>617</v>
      </c>
    </row>
    <row r="164" spans="1:14" x14ac:dyDescent="0.2">
      <c r="A164" t="s">
        <v>972</v>
      </c>
      <c r="B164" t="s">
        <v>973</v>
      </c>
      <c r="C164" t="s">
        <v>173</v>
      </c>
      <c r="D164" t="s">
        <v>337</v>
      </c>
      <c r="E164" t="s">
        <v>135</v>
      </c>
      <c r="F164" s="1">
        <f t="shared" si="5"/>
        <v>7</v>
      </c>
      <c r="G164" t="s">
        <v>16</v>
      </c>
      <c r="H164" t="s">
        <v>25</v>
      </c>
      <c r="I164" t="s">
        <v>135</v>
      </c>
      <c r="J164" t="s">
        <v>18</v>
      </c>
      <c r="K164" t="s">
        <v>974</v>
      </c>
      <c r="L164" t="s">
        <v>975</v>
      </c>
      <c r="M164" t="s">
        <v>365</v>
      </c>
      <c r="N164" t="s">
        <v>18</v>
      </c>
    </row>
    <row r="165" spans="1:14" x14ac:dyDescent="0.2">
      <c r="A165" t="s">
        <v>976</v>
      </c>
      <c r="B165" t="s">
        <v>977</v>
      </c>
      <c r="C165" t="s">
        <v>101</v>
      </c>
      <c r="D165" t="s">
        <v>215</v>
      </c>
      <c r="E165" t="s">
        <v>195</v>
      </c>
      <c r="F165" s="1">
        <f t="shared" si="5"/>
        <v>7</v>
      </c>
      <c r="G165" t="s">
        <v>16</v>
      </c>
      <c r="H165" t="s">
        <v>17</v>
      </c>
      <c r="I165" t="s">
        <v>195</v>
      </c>
      <c r="J165" t="s">
        <v>18</v>
      </c>
      <c r="K165" t="s">
        <v>978</v>
      </c>
      <c r="L165" t="s">
        <v>979</v>
      </c>
      <c r="M165" t="s">
        <v>980</v>
      </c>
      <c r="N165" t="s">
        <v>18</v>
      </c>
    </row>
    <row r="166" spans="1:14" x14ac:dyDescent="0.2">
      <c r="A166" t="s">
        <v>981</v>
      </c>
      <c r="B166" t="s">
        <v>982</v>
      </c>
      <c r="C166" t="s">
        <v>21</v>
      </c>
      <c r="D166" t="s">
        <v>50</v>
      </c>
      <c r="E166" t="s">
        <v>69</v>
      </c>
      <c r="F166" s="1">
        <f t="shared" si="5"/>
        <v>7</v>
      </c>
      <c r="G166" t="s">
        <v>24</v>
      </c>
      <c r="H166" t="s">
        <v>25</v>
      </c>
      <c r="I166" t="s">
        <v>51</v>
      </c>
      <c r="J166" t="s">
        <v>983</v>
      </c>
      <c r="K166" t="s">
        <v>984</v>
      </c>
      <c r="L166" t="s">
        <v>160</v>
      </c>
      <c r="M166" t="s">
        <v>18</v>
      </c>
      <c r="N166" t="s">
        <v>81</v>
      </c>
    </row>
    <row r="167" spans="1:14" x14ac:dyDescent="0.2">
      <c r="A167" t="s">
        <v>985</v>
      </c>
      <c r="B167" t="s">
        <v>986</v>
      </c>
      <c r="C167" t="s">
        <v>21</v>
      </c>
      <c r="D167" t="s">
        <v>39</v>
      </c>
      <c r="E167" t="s">
        <v>167</v>
      </c>
      <c r="F167" s="1">
        <f t="shared" si="5"/>
        <v>7</v>
      </c>
      <c r="G167" t="s">
        <v>16</v>
      </c>
      <c r="H167" t="s">
        <v>25</v>
      </c>
      <c r="I167" t="s">
        <v>103</v>
      </c>
      <c r="J167" t="s">
        <v>987</v>
      </c>
      <c r="K167" t="s">
        <v>988</v>
      </c>
      <c r="L167" t="s">
        <v>989</v>
      </c>
      <c r="M167" t="s">
        <v>18</v>
      </c>
      <c r="N167" t="s">
        <v>901</v>
      </c>
    </row>
    <row r="168" spans="1:14" x14ac:dyDescent="0.2">
      <c r="A168" t="s">
        <v>990</v>
      </c>
      <c r="B168" t="s">
        <v>991</v>
      </c>
      <c r="C168" t="s">
        <v>173</v>
      </c>
      <c r="D168" t="s">
        <v>43</v>
      </c>
      <c r="E168" t="s">
        <v>156</v>
      </c>
      <c r="F168" s="1">
        <f t="shared" si="5"/>
        <v>7</v>
      </c>
      <c r="G168" t="s">
        <v>24</v>
      </c>
      <c r="H168" t="s">
        <v>17</v>
      </c>
      <c r="I168" t="s">
        <v>156</v>
      </c>
      <c r="J168" t="s">
        <v>18</v>
      </c>
      <c r="K168" t="s">
        <v>992</v>
      </c>
      <c r="L168" t="s">
        <v>993</v>
      </c>
      <c r="M168" t="s">
        <v>339</v>
      </c>
      <c r="N168" t="s">
        <v>18</v>
      </c>
    </row>
    <row r="169" spans="1:14" x14ac:dyDescent="0.2">
      <c r="A169" t="s">
        <v>994</v>
      </c>
      <c r="B169" t="s">
        <v>995</v>
      </c>
      <c r="C169" t="s">
        <v>21</v>
      </c>
      <c r="D169" t="s">
        <v>77</v>
      </c>
      <c r="E169" t="s">
        <v>222</v>
      </c>
      <c r="F169" s="1">
        <f t="shared" si="5"/>
        <v>7</v>
      </c>
      <c r="G169" t="s">
        <v>256</v>
      </c>
      <c r="H169" t="s">
        <v>17</v>
      </c>
      <c r="I169" t="s">
        <v>33</v>
      </c>
      <c r="J169" t="s">
        <v>996</v>
      </c>
      <c r="K169" t="s">
        <v>997</v>
      </c>
      <c r="L169" t="s">
        <v>998</v>
      </c>
      <c r="M169" t="s">
        <v>18</v>
      </c>
      <c r="N169" t="s">
        <v>107</v>
      </c>
    </row>
    <row r="170" spans="1:14" x14ac:dyDescent="0.2">
      <c r="A170" t="s">
        <v>999</v>
      </c>
      <c r="B170" t="s">
        <v>1000</v>
      </c>
      <c r="C170" t="s">
        <v>21</v>
      </c>
      <c r="D170" t="s">
        <v>50</v>
      </c>
      <c r="E170" t="s">
        <v>51</v>
      </c>
      <c r="F170" s="1">
        <f t="shared" si="5"/>
        <v>7</v>
      </c>
      <c r="G170" t="s">
        <v>24</v>
      </c>
      <c r="H170" t="s">
        <v>25</v>
      </c>
      <c r="I170" t="s">
        <v>51</v>
      </c>
      <c r="J170" t="s">
        <v>1001</v>
      </c>
      <c r="K170" t="s">
        <v>1002</v>
      </c>
      <c r="L170" t="s">
        <v>160</v>
      </c>
      <c r="M170" t="s">
        <v>18</v>
      </c>
      <c r="N170" t="s">
        <v>81</v>
      </c>
    </row>
    <row r="171" spans="1:14" x14ac:dyDescent="0.2">
      <c r="A171" t="s">
        <v>1003</v>
      </c>
      <c r="B171" t="s">
        <v>1004</v>
      </c>
      <c r="C171" t="s">
        <v>173</v>
      </c>
      <c r="D171" t="s">
        <v>441</v>
      </c>
      <c r="E171" t="s">
        <v>249</v>
      </c>
      <c r="F171" s="1">
        <f t="shared" si="5"/>
        <v>7</v>
      </c>
      <c r="G171" t="s">
        <v>256</v>
      </c>
      <c r="H171" t="s">
        <v>25</v>
      </c>
      <c r="I171" t="s">
        <v>249</v>
      </c>
      <c r="J171" t="s">
        <v>18</v>
      </c>
      <c r="K171" t="s">
        <v>1005</v>
      </c>
      <c r="L171" t="s">
        <v>1006</v>
      </c>
      <c r="M171" t="s">
        <v>218</v>
      </c>
      <c r="N171" t="s">
        <v>18</v>
      </c>
    </row>
    <row r="172" spans="1:14" x14ac:dyDescent="0.2">
      <c r="A172" t="s">
        <v>1007</v>
      </c>
      <c r="B172" t="s">
        <v>1008</v>
      </c>
      <c r="C172" t="s">
        <v>21</v>
      </c>
      <c r="D172" t="s">
        <v>22</v>
      </c>
      <c r="E172" t="s">
        <v>33</v>
      </c>
      <c r="F172" s="1">
        <f t="shared" si="5"/>
        <v>7</v>
      </c>
      <c r="G172" t="s">
        <v>395</v>
      </c>
      <c r="H172" t="s">
        <v>60</v>
      </c>
      <c r="I172" t="s">
        <v>156</v>
      </c>
      <c r="J172" t="s">
        <v>1009</v>
      </c>
      <c r="K172" t="s">
        <v>334</v>
      </c>
      <c r="L172" t="s">
        <v>1010</v>
      </c>
      <c r="M172" t="s">
        <v>18</v>
      </c>
      <c r="N172" t="s">
        <v>630</v>
      </c>
    </row>
    <row r="173" spans="1:14" x14ac:dyDescent="0.2">
      <c r="A173" t="s">
        <v>1011</v>
      </c>
      <c r="B173" t="s">
        <v>1012</v>
      </c>
      <c r="C173" t="s">
        <v>173</v>
      </c>
      <c r="D173" t="s">
        <v>45</v>
      </c>
      <c r="E173" t="s">
        <v>156</v>
      </c>
      <c r="F173" s="1">
        <f t="shared" si="5"/>
        <v>7</v>
      </c>
      <c r="G173" t="s">
        <v>24</v>
      </c>
      <c r="H173" t="s">
        <v>17</v>
      </c>
      <c r="I173" t="s">
        <v>156</v>
      </c>
      <c r="J173" t="s">
        <v>1013</v>
      </c>
      <c r="K173" t="s">
        <v>1014</v>
      </c>
      <c r="L173" t="s">
        <v>1015</v>
      </c>
      <c r="M173" t="s">
        <v>55</v>
      </c>
      <c r="N173" t="s">
        <v>81</v>
      </c>
    </row>
    <row r="174" spans="1:14" x14ac:dyDescent="0.2">
      <c r="A174" t="s">
        <v>1016</v>
      </c>
      <c r="B174" t="s">
        <v>1017</v>
      </c>
      <c r="C174" t="s">
        <v>13</v>
      </c>
      <c r="D174" t="s">
        <v>494</v>
      </c>
      <c r="E174" t="s">
        <v>188</v>
      </c>
      <c r="F174" s="1">
        <f t="shared" si="5"/>
        <v>7</v>
      </c>
      <c r="G174" t="s">
        <v>24</v>
      </c>
      <c r="H174" t="s">
        <v>25</v>
      </c>
      <c r="I174" t="s">
        <v>188</v>
      </c>
      <c r="J174" t="s">
        <v>1018</v>
      </c>
      <c r="K174" t="s">
        <v>1019</v>
      </c>
      <c r="L174" t="s">
        <v>1020</v>
      </c>
      <c r="M174" t="s">
        <v>55</v>
      </c>
      <c r="N174" t="s">
        <v>81</v>
      </c>
    </row>
    <row r="175" spans="1:14" x14ac:dyDescent="0.2">
      <c r="A175" t="s">
        <v>1021</v>
      </c>
      <c r="B175" t="s">
        <v>1022</v>
      </c>
      <c r="C175" t="s">
        <v>176</v>
      </c>
      <c r="D175" t="s">
        <v>376</v>
      </c>
      <c r="E175" t="s">
        <v>120</v>
      </c>
      <c r="F175" s="1">
        <f t="shared" si="5"/>
        <v>7</v>
      </c>
      <c r="G175" t="s">
        <v>16</v>
      </c>
      <c r="H175" t="s">
        <v>17</v>
      </c>
      <c r="I175" t="s">
        <v>120</v>
      </c>
      <c r="J175" t="s">
        <v>1023</v>
      </c>
      <c r="K175" t="s">
        <v>1024</v>
      </c>
      <c r="L175" t="s">
        <v>1025</v>
      </c>
      <c r="M175" t="s">
        <v>1026</v>
      </c>
      <c r="N175" t="s">
        <v>913</v>
      </c>
    </row>
    <row r="176" spans="1:14" x14ac:dyDescent="0.2">
      <c r="A176" t="s">
        <v>1027</v>
      </c>
      <c r="B176" t="s">
        <v>1028</v>
      </c>
      <c r="C176" t="s">
        <v>101</v>
      </c>
      <c r="D176" t="s">
        <v>1029</v>
      </c>
      <c r="E176" t="s">
        <v>249</v>
      </c>
      <c r="F176" s="1">
        <f t="shared" si="5"/>
        <v>7</v>
      </c>
      <c r="G176" t="s">
        <v>16</v>
      </c>
      <c r="H176" t="s">
        <v>17</v>
      </c>
      <c r="I176" t="s">
        <v>69</v>
      </c>
      <c r="J176" t="s">
        <v>1030</v>
      </c>
      <c r="K176" t="s">
        <v>1031</v>
      </c>
      <c r="L176" t="s">
        <v>1032</v>
      </c>
      <c r="M176" t="s">
        <v>18</v>
      </c>
      <c r="N176" t="s">
        <v>714</v>
      </c>
    </row>
    <row r="177" spans="1:14" x14ac:dyDescent="0.2">
      <c r="A177" t="s">
        <v>1033</v>
      </c>
      <c r="B177" t="s">
        <v>1034</v>
      </c>
      <c r="C177" t="s">
        <v>21</v>
      </c>
      <c r="D177" t="s">
        <v>855</v>
      </c>
      <c r="E177" t="s">
        <v>188</v>
      </c>
      <c r="F177" s="1">
        <f t="shared" si="5"/>
        <v>7</v>
      </c>
      <c r="G177" t="s">
        <v>16</v>
      </c>
      <c r="H177" t="s">
        <v>17</v>
      </c>
      <c r="I177" t="s">
        <v>120</v>
      </c>
      <c r="J177" t="s">
        <v>1035</v>
      </c>
      <c r="K177" t="s">
        <v>1036</v>
      </c>
      <c r="L177" t="s">
        <v>1037</v>
      </c>
      <c r="M177" t="s">
        <v>18</v>
      </c>
      <c r="N177" t="s">
        <v>1038</v>
      </c>
    </row>
    <row r="178" spans="1:14" x14ac:dyDescent="0.2">
      <c r="A178" t="s">
        <v>1039</v>
      </c>
      <c r="B178" t="s">
        <v>1040</v>
      </c>
      <c r="C178" t="s">
        <v>21</v>
      </c>
      <c r="D178" t="s">
        <v>289</v>
      </c>
      <c r="E178" t="s">
        <v>69</v>
      </c>
      <c r="F178" s="1">
        <f t="shared" si="5"/>
        <v>7</v>
      </c>
      <c r="G178" t="s">
        <v>16</v>
      </c>
      <c r="H178" t="s">
        <v>25</v>
      </c>
      <c r="I178" t="s">
        <v>87</v>
      </c>
      <c r="J178" t="s">
        <v>1041</v>
      </c>
      <c r="K178" t="s">
        <v>511</v>
      </c>
      <c r="L178" t="s">
        <v>73</v>
      </c>
      <c r="M178" t="s">
        <v>18</v>
      </c>
      <c r="N178" t="s">
        <v>1042</v>
      </c>
    </row>
    <row r="179" spans="1:14" x14ac:dyDescent="0.2">
      <c r="A179" t="s">
        <v>1043</v>
      </c>
      <c r="B179" t="s">
        <v>1044</v>
      </c>
      <c r="C179" t="s">
        <v>101</v>
      </c>
      <c r="D179" t="s">
        <v>902</v>
      </c>
      <c r="E179" t="s">
        <v>188</v>
      </c>
      <c r="F179" s="1">
        <f t="shared" si="5"/>
        <v>7</v>
      </c>
      <c r="G179" t="s">
        <v>24</v>
      </c>
      <c r="H179" t="s">
        <v>25</v>
      </c>
      <c r="I179" t="s">
        <v>326</v>
      </c>
      <c r="J179" t="s">
        <v>1045</v>
      </c>
      <c r="K179" t="s">
        <v>1046</v>
      </c>
      <c r="L179" t="s">
        <v>1047</v>
      </c>
      <c r="M179" t="s">
        <v>18</v>
      </c>
      <c r="N179" t="s">
        <v>259</v>
      </c>
    </row>
    <row r="180" spans="1:14" x14ac:dyDescent="0.2">
      <c r="A180" t="s">
        <v>1048</v>
      </c>
      <c r="B180" t="s">
        <v>1049</v>
      </c>
      <c r="C180" t="s">
        <v>176</v>
      </c>
      <c r="D180" t="s">
        <v>376</v>
      </c>
      <c r="E180" t="s">
        <v>188</v>
      </c>
      <c r="F180" s="1">
        <f t="shared" si="5"/>
        <v>7</v>
      </c>
      <c r="G180" t="s">
        <v>24</v>
      </c>
      <c r="H180" t="s">
        <v>25</v>
      </c>
      <c r="I180" t="s">
        <v>188</v>
      </c>
      <c r="J180" t="s">
        <v>18</v>
      </c>
      <c r="K180" t="s">
        <v>1050</v>
      </c>
      <c r="L180" t="s">
        <v>1051</v>
      </c>
      <c r="M180" t="s">
        <v>55</v>
      </c>
      <c r="N180" t="s">
        <v>18</v>
      </c>
    </row>
    <row r="181" spans="1:14" x14ac:dyDescent="0.2">
      <c r="A181" t="s">
        <v>1052</v>
      </c>
      <c r="B181" t="s">
        <v>1053</v>
      </c>
      <c r="C181" t="s">
        <v>21</v>
      </c>
      <c r="D181" t="s">
        <v>39</v>
      </c>
      <c r="E181" t="s">
        <v>51</v>
      </c>
      <c r="F181" s="1">
        <f t="shared" si="5"/>
        <v>7</v>
      </c>
      <c r="G181" t="s">
        <v>16</v>
      </c>
      <c r="H181" t="s">
        <v>17</v>
      </c>
      <c r="I181" t="s">
        <v>103</v>
      </c>
      <c r="J181" t="s">
        <v>1054</v>
      </c>
      <c r="K181" t="s">
        <v>911</v>
      </c>
      <c r="L181" t="s">
        <v>1055</v>
      </c>
      <c r="M181" t="s">
        <v>18</v>
      </c>
      <c r="N181" t="s">
        <v>109</v>
      </c>
    </row>
    <row r="182" spans="1:14" x14ac:dyDescent="0.2">
      <c r="A182" t="s">
        <v>1056</v>
      </c>
      <c r="B182" t="s">
        <v>1057</v>
      </c>
      <c r="C182" t="s">
        <v>173</v>
      </c>
      <c r="D182" t="s">
        <v>43</v>
      </c>
      <c r="E182" t="s">
        <v>156</v>
      </c>
      <c r="F182" s="1">
        <f t="shared" si="5"/>
        <v>7</v>
      </c>
      <c r="G182" t="s">
        <v>16</v>
      </c>
      <c r="H182" t="s">
        <v>25</v>
      </c>
      <c r="I182" t="s">
        <v>156</v>
      </c>
      <c r="J182" t="s">
        <v>18</v>
      </c>
      <c r="K182" t="s">
        <v>1058</v>
      </c>
      <c r="L182" t="s">
        <v>1059</v>
      </c>
      <c r="M182" t="s">
        <v>339</v>
      </c>
      <c r="N182" t="s">
        <v>18</v>
      </c>
    </row>
    <row r="183" spans="1:14" x14ac:dyDescent="0.2">
      <c r="A183" t="s">
        <v>1060</v>
      </c>
      <c r="B183" t="s">
        <v>1061</v>
      </c>
      <c r="C183" t="s">
        <v>173</v>
      </c>
      <c r="D183" t="s">
        <v>208</v>
      </c>
      <c r="E183" t="s">
        <v>222</v>
      </c>
      <c r="F183" s="1">
        <f t="shared" si="5"/>
        <v>7</v>
      </c>
      <c r="G183" t="s">
        <v>24</v>
      </c>
      <c r="H183" t="s">
        <v>17</v>
      </c>
      <c r="I183" t="s">
        <v>222</v>
      </c>
      <c r="J183" t="s">
        <v>18</v>
      </c>
      <c r="K183" t="s">
        <v>1062</v>
      </c>
      <c r="L183" t="s">
        <v>1063</v>
      </c>
      <c r="M183" t="s">
        <v>907</v>
      </c>
      <c r="N183" t="s">
        <v>18</v>
      </c>
    </row>
    <row r="184" spans="1:14" x14ac:dyDescent="0.2">
      <c r="A184" t="s">
        <v>1064</v>
      </c>
      <c r="B184" t="s">
        <v>1065</v>
      </c>
      <c r="C184" t="s">
        <v>101</v>
      </c>
      <c r="D184" t="s">
        <v>321</v>
      </c>
      <c r="E184" t="s">
        <v>33</v>
      </c>
      <c r="F184" s="1">
        <f t="shared" si="5"/>
        <v>7</v>
      </c>
      <c r="G184" t="s">
        <v>24</v>
      </c>
      <c r="H184" t="s">
        <v>17</v>
      </c>
      <c r="I184" t="s">
        <v>23</v>
      </c>
      <c r="J184" t="s">
        <v>1066</v>
      </c>
      <c r="K184" t="s">
        <v>1067</v>
      </c>
      <c r="L184" t="s">
        <v>1068</v>
      </c>
      <c r="M184" t="s">
        <v>18</v>
      </c>
      <c r="N184" t="s">
        <v>708</v>
      </c>
    </row>
    <row r="185" spans="1:14" x14ac:dyDescent="0.2">
      <c r="A185" t="s">
        <v>1069</v>
      </c>
      <c r="B185" t="s">
        <v>1070</v>
      </c>
      <c r="C185" t="s">
        <v>21</v>
      </c>
      <c r="D185" t="s">
        <v>342</v>
      </c>
      <c r="E185" t="s">
        <v>156</v>
      </c>
      <c r="F185" s="1">
        <f t="shared" si="5"/>
        <v>7</v>
      </c>
      <c r="G185" t="s">
        <v>395</v>
      </c>
      <c r="H185" t="s">
        <v>60</v>
      </c>
      <c r="I185" t="s">
        <v>157</v>
      </c>
      <c r="J185" t="s">
        <v>1071</v>
      </c>
      <c r="K185" t="s">
        <v>18</v>
      </c>
      <c r="L185" t="s">
        <v>397</v>
      </c>
      <c r="M185" t="s">
        <v>18</v>
      </c>
      <c r="N185" t="s">
        <v>18</v>
      </c>
    </row>
    <row r="186" spans="1:14" x14ac:dyDescent="0.2">
      <c r="A186" t="s">
        <v>1072</v>
      </c>
      <c r="B186" t="s">
        <v>1073</v>
      </c>
      <c r="C186" t="s">
        <v>42</v>
      </c>
      <c r="D186" t="s">
        <v>119</v>
      </c>
      <c r="E186" t="s">
        <v>23</v>
      </c>
      <c r="F186" s="1">
        <f t="shared" si="5"/>
        <v>7</v>
      </c>
      <c r="G186" t="s">
        <v>16</v>
      </c>
      <c r="H186" t="s">
        <v>17</v>
      </c>
      <c r="I186" t="s">
        <v>26</v>
      </c>
      <c r="J186" t="s">
        <v>1074</v>
      </c>
      <c r="K186" t="s">
        <v>1075</v>
      </c>
      <c r="L186" t="s">
        <v>338</v>
      </c>
      <c r="M186" t="s">
        <v>18</v>
      </c>
      <c r="N186" t="s">
        <v>161</v>
      </c>
    </row>
    <row r="187" spans="1:14" x14ac:dyDescent="0.2">
      <c r="A187" t="s">
        <v>1076</v>
      </c>
      <c r="B187" t="s">
        <v>1077</v>
      </c>
      <c r="C187" t="s">
        <v>176</v>
      </c>
      <c r="D187" t="s">
        <v>376</v>
      </c>
      <c r="E187" t="s">
        <v>188</v>
      </c>
      <c r="F187" s="1">
        <f t="shared" si="5"/>
        <v>7</v>
      </c>
      <c r="G187" t="s">
        <v>16</v>
      </c>
      <c r="H187" t="s">
        <v>17</v>
      </c>
      <c r="I187" t="s">
        <v>188</v>
      </c>
      <c r="J187" t="s">
        <v>1078</v>
      </c>
      <c r="K187" t="s">
        <v>1079</v>
      </c>
      <c r="L187" t="s">
        <v>1080</v>
      </c>
      <c r="M187" t="s">
        <v>83</v>
      </c>
      <c r="N187" t="s">
        <v>454</v>
      </c>
    </row>
    <row r="188" spans="1:14" x14ac:dyDescent="0.2">
      <c r="A188" t="s">
        <v>1082</v>
      </c>
      <c r="B188" t="s">
        <v>1083</v>
      </c>
      <c r="C188" t="s">
        <v>13</v>
      </c>
      <c r="D188" t="s">
        <v>376</v>
      </c>
      <c r="E188" t="s">
        <v>326</v>
      </c>
      <c r="F188" s="1">
        <f t="shared" si="5"/>
        <v>7</v>
      </c>
      <c r="G188" t="s">
        <v>16</v>
      </c>
      <c r="H188" t="s">
        <v>17</v>
      </c>
      <c r="I188" t="s">
        <v>135</v>
      </c>
      <c r="J188" t="s">
        <v>1084</v>
      </c>
      <c r="K188" t="s">
        <v>114</v>
      </c>
      <c r="L188" t="s">
        <v>1085</v>
      </c>
      <c r="M188" t="s">
        <v>279</v>
      </c>
      <c r="N188" t="s">
        <v>336</v>
      </c>
    </row>
    <row r="189" spans="1:14" x14ac:dyDescent="0.2">
      <c r="A189" t="s">
        <v>1086</v>
      </c>
      <c r="B189" t="s">
        <v>1087</v>
      </c>
      <c r="C189" t="s">
        <v>173</v>
      </c>
      <c r="D189" t="s">
        <v>43</v>
      </c>
      <c r="E189" t="s">
        <v>59</v>
      </c>
      <c r="F189" s="1">
        <f t="shared" si="5"/>
        <v>7</v>
      </c>
      <c r="G189" t="s">
        <v>16</v>
      </c>
      <c r="H189" t="s">
        <v>25</v>
      </c>
      <c r="I189" t="s">
        <v>59</v>
      </c>
      <c r="J189" t="s">
        <v>18</v>
      </c>
      <c r="K189" t="s">
        <v>1088</v>
      </c>
      <c r="L189" t="s">
        <v>1089</v>
      </c>
      <c r="M189" t="s">
        <v>55</v>
      </c>
      <c r="N189" t="s">
        <v>18</v>
      </c>
    </row>
    <row r="190" spans="1:14" x14ac:dyDescent="0.2">
      <c r="A190" t="s">
        <v>1090</v>
      </c>
      <c r="B190" t="s">
        <v>1091</v>
      </c>
      <c r="C190" t="s">
        <v>21</v>
      </c>
      <c r="D190" t="s">
        <v>77</v>
      </c>
      <c r="E190" t="s">
        <v>156</v>
      </c>
      <c r="F190" s="1">
        <f t="shared" si="5"/>
        <v>7</v>
      </c>
      <c r="G190" t="s">
        <v>16</v>
      </c>
      <c r="H190" t="s">
        <v>17</v>
      </c>
      <c r="I190" t="s">
        <v>156</v>
      </c>
      <c r="J190" t="s">
        <v>1092</v>
      </c>
      <c r="K190" t="s">
        <v>1093</v>
      </c>
      <c r="L190" t="s">
        <v>1094</v>
      </c>
      <c r="M190" t="s">
        <v>18</v>
      </c>
      <c r="N190" t="s">
        <v>139</v>
      </c>
    </row>
    <row r="191" spans="1:14" x14ac:dyDescent="0.2">
      <c r="A191" t="s">
        <v>1095</v>
      </c>
      <c r="B191" t="s">
        <v>1096</v>
      </c>
      <c r="C191" t="s">
        <v>21</v>
      </c>
      <c r="D191" t="s">
        <v>39</v>
      </c>
      <c r="E191" t="s">
        <v>59</v>
      </c>
      <c r="F191" s="1">
        <f t="shared" si="5"/>
        <v>7</v>
      </c>
      <c r="G191" t="s">
        <v>16</v>
      </c>
      <c r="H191" t="s">
        <v>17</v>
      </c>
      <c r="I191" t="s">
        <v>520</v>
      </c>
      <c r="J191" t="s">
        <v>1097</v>
      </c>
      <c r="K191" t="s">
        <v>1098</v>
      </c>
      <c r="L191" t="s">
        <v>1099</v>
      </c>
      <c r="M191" t="s">
        <v>18</v>
      </c>
      <c r="N191" t="s">
        <v>1100</v>
      </c>
    </row>
    <row r="192" spans="1:14" x14ac:dyDescent="0.2">
      <c r="A192" t="s">
        <v>1101</v>
      </c>
      <c r="B192" t="s">
        <v>1102</v>
      </c>
      <c r="C192" t="s">
        <v>101</v>
      </c>
      <c r="D192" t="s">
        <v>278</v>
      </c>
      <c r="E192" t="s">
        <v>135</v>
      </c>
      <c r="F192" s="1">
        <f t="shared" si="5"/>
        <v>7</v>
      </c>
      <c r="G192" t="s">
        <v>16</v>
      </c>
      <c r="H192" t="s">
        <v>17</v>
      </c>
      <c r="I192" t="s">
        <v>61</v>
      </c>
      <c r="J192" t="s">
        <v>1103</v>
      </c>
      <c r="K192" t="s">
        <v>1104</v>
      </c>
      <c r="L192" t="s">
        <v>1105</v>
      </c>
      <c r="M192" t="s">
        <v>18</v>
      </c>
      <c r="N192" t="s">
        <v>1106</v>
      </c>
    </row>
    <row r="193" spans="1:14" x14ac:dyDescent="0.2">
      <c r="A193" t="s">
        <v>1107</v>
      </c>
      <c r="B193" t="s">
        <v>1108</v>
      </c>
      <c r="C193" t="s">
        <v>13</v>
      </c>
      <c r="D193" t="s">
        <v>166</v>
      </c>
      <c r="E193" t="s">
        <v>51</v>
      </c>
      <c r="F193" s="1">
        <f t="shared" si="5"/>
        <v>7</v>
      </c>
      <c r="G193" t="s">
        <v>16</v>
      </c>
      <c r="H193" t="s">
        <v>17</v>
      </c>
      <c r="I193" t="s">
        <v>51</v>
      </c>
      <c r="J193" t="s">
        <v>1109</v>
      </c>
      <c r="K193" t="s">
        <v>1110</v>
      </c>
      <c r="L193" t="s">
        <v>1111</v>
      </c>
      <c r="M193" t="s">
        <v>583</v>
      </c>
      <c r="N193" t="s">
        <v>1112</v>
      </c>
    </row>
    <row r="194" spans="1:14" x14ac:dyDescent="0.2">
      <c r="A194" t="s">
        <v>1113</v>
      </c>
      <c r="B194" t="s">
        <v>1114</v>
      </c>
      <c r="C194" t="s">
        <v>21</v>
      </c>
      <c r="D194" t="s">
        <v>39</v>
      </c>
      <c r="E194" t="s">
        <v>59</v>
      </c>
      <c r="F194" s="1">
        <f t="shared" ref="F194:F219" si="6">MONTH(E194)</f>
        <v>7</v>
      </c>
      <c r="G194" t="s">
        <v>16</v>
      </c>
      <c r="H194" t="s">
        <v>17</v>
      </c>
      <c r="I194" t="s">
        <v>40</v>
      </c>
      <c r="J194" t="s">
        <v>1115</v>
      </c>
      <c r="K194" t="s">
        <v>1116</v>
      </c>
      <c r="L194" t="s">
        <v>1117</v>
      </c>
      <c r="M194" t="s">
        <v>18</v>
      </c>
      <c r="N194" t="s">
        <v>1118</v>
      </c>
    </row>
    <row r="195" spans="1:14" x14ac:dyDescent="0.2">
      <c r="A195" t="s">
        <v>1119</v>
      </c>
      <c r="B195" t="s">
        <v>1120</v>
      </c>
      <c r="C195" t="s">
        <v>101</v>
      </c>
      <c r="D195" t="s">
        <v>669</v>
      </c>
      <c r="E195" t="s">
        <v>222</v>
      </c>
      <c r="F195" s="1">
        <f t="shared" si="6"/>
        <v>7</v>
      </c>
      <c r="G195" t="s">
        <v>24</v>
      </c>
      <c r="H195" t="s">
        <v>25</v>
      </c>
      <c r="I195" t="s">
        <v>33</v>
      </c>
      <c r="J195" t="s">
        <v>1121</v>
      </c>
      <c r="K195" t="s">
        <v>1122</v>
      </c>
      <c r="L195" t="s">
        <v>319</v>
      </c>
      <c r="M195" t="s">
        <v>18</v>
      </c>
      <c r="N195" t="s">
        <v>107</v>
      </c>
    </row>
    <row r="196" spans="1:14" x14ac:dyDescent="0.2">
      <c r="A196" t="s">
        <v>1123</v>
      </c>
      <c r="B196" t="s">
        <v>1124</v>
      </c>
      <c r="C196" t="s">
        <v>21</v>
      </c>
      <c r="D196" t="s">
        <v>39</v>
      </c>
      <c r="E196" t="s">
        <v>51</v>
      </c>
      <c r="F196" s="1">
        <f t="shared" si="6"/>
        <v>7</v>
      </c>
      <c r="G196" t="s">
        <v>269</v>
      </c>
      <c r="H196" t="s">
        <v>25</v>
      </c>
      <c r="I196" t="s">
        <v>127</v>
      </c>
      <c r="J196" t="s">
        <v>1125</v>
      </c>
      <c r="K196" t="s">
        <v>1126</v>
      </c>
      <c r="L196" t="s">
        <v>1127</v>
      </c>
      <c r="M196" t="s">
        <v>18</v>
      </c>
      <c r="N196" t="s">
        <v>1128</v>
      </c>
    </row>
    <row r="197" spans="1:14" x14ac:dyDescent="0.2">
      <c r="A197" t="s">
        <v>1129</v>
      </c>
      <c r="B197" t="s">
        <v>1130</v>
      </c>
      <c r="C197" t="s">
        <v>21</v>
      </c>
      <c r="D197" t="s">
        <v>22</v>
      </c>
      <c r="E197" t="s">
        <v>33</v>
      </c>
      <c r="F197" s="1">
        <f t="shared" si="6"/>
        <v>7</v>
      </c>
      <c r="G197" t="s">
        <v>24</v>
      </c>
      <c r="H197" t="s">
        <v>17</v>
      </c>
      <c r="I197" t="s">
        <v>26</v>
      </c>
      <c r="J197" t="s">
        <v>1131</v>
      </c>
      <c r="K197" t="s">
        <v>334</v>
      </c>
      <c r="L197" t="s">
        <v>1132</v>
      </c>
      <c r="M197" t="s">
        <v>18</v>
      </c>
      <c r="N197" t="s">
        <v>1133</v>
      </c>
    </row>
    <row r="198" spans="1:14" x14ac:dyDescent="0.2">
      <c r="A198" t="s">
        <v>1134</v>
      </c>
      <c r="B198" t="s">
        <v>1135</v>
      </c>
      <c r="C198" t="s">
        <v>173</v>
      </c>
      <c r="D198" t="s">
        <v>166</v>
      </c>
      <c r="E198" t="s">
        <v>26</v>
      </c>
      <c r="F198" s="1">
        <f t="shared" si="6"/>
        <v>7</v>
      </c>
      <c r="G198" t="s">
        <v>24</v>
      </c>
      <c r="H198" t="s">
        <v>17</v>
      </c>
      <c r="I198" t="s">
        <v>26</v>
      </c>
      <c r="J198" t="s">
        <v>18</v>
      </c>
      <c r="K198" t="s">
        <v>1136</v>
      </c>
      <c r="L198" t="s">
        <v>1137</v>
      </c>
      <c r="M198" t="s">
        <v>703</v>
      </c>
      <c r="N198" t="s">
        <v>18</v>
      </c>
    </row>
    <row r="199" spans="1:14" x14ac:dyDescent="0.2">
      <c r="A199" t="s">
        <v>1138</v>
      </c>
      <c r="B199" t="s">
        <v>1139</v>
      </c>
      <c r="C199" t="s">
        <v>101</v>
      </c>
      <c r="D199" t="s">
        <v>1081</v>
      </c>
      <c r="E199" t="s">
        <v>209</v>
      </c>
      <c r="F199" s="1">
        <f t="shared" si="6"/>
        <v>7</v>
      </c>
      <c r="G199" t="s">
        <v>828</v>
      </c>
      <c r="H199" t="s">
        <v>25</v>
      </c>
      <c r="I199" t="s">
        <v>209</v>
      </c>
      <c r="J199" t="s">
        <v>1140</v>
      </c>
      <c r="K199" t="s">
        <v>1141</v>
      </c>
      <c r="L199" t="s">
        <v>1142</v>
      </c>
      <c r="M199" t="s">
        <v>18</v>
      </c>
      <c r="N199" t="s">
        <v>81</v>
      </c>
    </row>
    <row r="200" spans="1:14" x14ac:dyDescent="0.2">
      <c r="A200" t="s">
        <v>1143</v>
      </c>
      <c r="B200" t="s">
        <v>1144</v>
      </c>
      <c r="C200" t="s">
        <v>21</v>
      </c>
      <c r="D200" t="s">
        <v>1145</v>
      </c>
      <c r="E200" t="s">
        <v>222</v>
      </c>
      <c r="F200" s="1">
        <f t="shared" si="6"/>
        <v>7</v>
      </c>
      <c r="G200" t="s">
        <v>24</v>
      </c>
      <c r="H200" t="s">
        <v>25</v>
      </c>
      <c r="I200" t="s">
        <v>222</v>
      </c>
      <c r="J200" t="s">
        <v>1146</v>
      </c>
      <c r="K200" t="s">
        <v>1147</v>
      </c>
      <c r="L200" t="s">
        <v>1148</v>
      </c>
      <c r="M200" t="s">
        <v>18</v>
      </c>
      <c r="N200" t="s">
        <v>81</v>
      </c>
    </row>
    <row r="201" spans="1:14" x14ac:dyDescent="0.2">
      <c r="A201" t="s">
        <v>1149</v>
      </c>
      <c r="B201" t="s">
        <v>1150</v>
      </c>
      <c r="C201" t="s">
        <v>176</v>
      </c>
      <c r="D201" t="s">
        <v>376</v>
      </c>
      <c r="E201" t="s">
        <v>188</v>
      </c>
      <c r="F201" s="1">
        <f t="shared" si="6"/>
        <v>7</v>
      </c>
      <c r="G201" t="s">
        <v>16</v>
      </c>
      <c r="H201" t="s">
        <v>17</v>
      </c>
      <c r="I201" t="s">
        <v>188</v>
      </c>
      <c r="J201" t="s">
        <v>18</v>
      </c>
      <c r="K201" t="s">
        <v>1151</v>
      </c>
      <c r="L201" t="s">
        <v>1152</v>
      </c>
      <c r="M201" t="s">
        <v>584</v>
      </c>
      <c r="N201" t="s">
        <v>18</v>
      </c>
    </row>
    <row r="202" spans="1:14" x14ac:dyDescent="0.2">
      <c r="A202" t="s">
        <v>1153</v>
      </c>
      <c r="B202" t="s">
        <v>1154</v>
      </c>
      <c r="C202" t="s">
        <v>42</v>
      </c>
      <c r="D202" t="s">
        <v>149</v>
      </c>
      <c r="E202" t="s">
        <v>69</v>
      </c>
      <c r="F202" s="1">
        <f t="shared" si="6"/>
        <v>7</v>
      </c>
      <c r="G202" t="s">
        <v>16</v>
      </c>
      <c r="H202" t="s">
        <v>25</v>
      </c>
      <c r="I202" t="s">
        <v>127</v>
      </c>
      <c r="J202" t="s">
        <v>1155</v>
      </c>
      <c r="K202" t="s">
        <v>366</v>
      </c>
      <c r="L202" t="s">
        <v>73</v>
      </c>
      <c r="M202" t="s">
        <v>18</v>
      </c>
      <c r="N202" t="s">
        <v>1156</v>
      </c>
    </row>
    <row r="203" spans="1:14" x14ac:dyDescent="0.2">
      <c r="A203" t="s">
        <v>1157</v>
      </c>
      <c r="B203" t="s">
        <v>1158</v>
      </c>
      <c r="C203" t="s">
        <v>101</v>
      </c>
      <c r="D203" t="s">
        <v>1159</v>
      </c>
      <c r="E203" t="s">
        <v>156</v>
      </c>
      <c r="F203" s="1">
        <f t="shared" si="6"/>
        <v>7</v>
      </c>
      <c r="G203" t="s">
        <v>16</v>
      </c>
      <c r="H203" t="s">
        <v>17</v>
      </c>
      <c r="I203" t="s">
        <v>195</v>
      </c>
      <c r="J203" t="s">
        <v>1160</v>
      </c>
      <c r="K203" t="s">
        <v>1161</v>
      </c>
      <c r="L203" t="s">
        <v>1162</v>
      </c>
      <c r="M203" t="s">
        <v>18</v>
      </c>
      <c r="N203" t="s">
        <v>1163</v>
      </c>
    </row>
    <row r="204" spans="1:14" x14ac:dyDescent="0.2">
      <c r="A204" t="s">
        <v>1164</v>
      </c>
      <c r="B204" t="s">
        <v>1165</v>
      </c>
      <c r="C204" t="s">
        <v>173</v>
      </c>
      <c r="D204" t="s">
        <v>228</v>
      </c>
      <c r="E204" t="s">
        <v>26</v>
      </c>
      <c r="F204" s="1">
        <f t="shared" si="6"/>
        <v>7</v>
      </c>
      <c r="G204" t="s">
        <v>16</v>
      </c>
      <c r="H204" t="s">
        <v>25</v>
      </c>
      <c r="I204" t="s">
        <v>26</v>
      </c>
      <c r="J204" t="s">
        <v>18</v>
      </c>
      <c r="K204" t="s">
        <v>1166</v>
      </c>
      <c r="L204" t="s">
        <v>1167</v>
      </c>
      <c r="M204" t="s">
        <v>55</v>
      </c>
      <c r="N204" t="s">
        <v>18</v>
      </c>
    </row>
    <row r="205" spans="1:14" x14ac:dyDescent="0.2">
      <c r="A205" t="s">
        <v>1168</v>
      </c>
      <c r="B205" t="s">
        <v>1169</v>
      </c>
      <c r="C205" t="s">
        <v>21</v>
      </c>
      <c r="D205" t="s">
        <v>342</v>
      </c>
      <c r="E205" t="s">
        <v>332</v>
      </c>
      <c r="F205" s="1">
        <f t="shared" si="6"/>
        <v>7</v>
      </c>
      <c r="G205" t="s">
        <v>24</v>
      </c>
      <c r="H205" t="s">
        <v>25</v>
      </c>
      <c r="I205" t="s">
        <v>332</v>
      </c>
      <c r="J205" t="s">
        <v>1170</v>
      </c>
      <c r="K205" t="s">
        <v>1171</v>
      </c>
      <c r="L205" t="s">
        <v>160</v>
      </c>
      <c r="M205" t="s">
        <v>18</v>
      </c>
      <c r="N205" t="s">
        <v>285</v>
      </c>
    </row>
    <row r="206" spans="1:14" x14ac:dyDescent="0.2">
      <c r="A206" t="s">
        <v>1168</v>
      </c>
      <c r="B206" t="s">
        <v>1172</v>
      </c>
      <c r="C206" t="s">
        <v>21</v>
      </c>
      <c r="D206" t="s">
        <v>39</v>
      </c>
      <c r="E206" t="s">
        <v>188</v>
      </c>
      <c r="F206" s="1">
        <f t="shared" si="6"/>
        <v>7</v>
      </c>
      <c r="G206" t="s">
        <v>16</v>
      </c>
      <c r="H206" t="s">
        <v>17</v>
      </c>
      <c r="I206" t="s">
        <v>34</v>
      </c>
      <c r="J206" t="s">
        <v>1173</v>
      </c>
      <c r="K206" t="s">
        <v>1174</v>
      </c>
      <c r="L206" t="s">
        <v>1175</v>
      </c>
      <c r="M206" t="s">
        <v>18</v>
      </c>
      <c r="N206" t="s">
        <v>623</v>
      </c>
    </row>
    <row r="207" spans="1:14" x14ac:dyDescent="0.2">
      <c r="A207" t="s">
        <v>1176</v>
      </c>
      <c r="B207" t="s">
        <v>1177</v>
      </c>
      <c r="C207" t="s">
        <v>173</v>
      </c>
      <c r="D207" t="s">
        <v>45</v>
      </c>
      <c r="E207" t="s">
        <v>33</v>
      </c>
      <c r="F207" s="1">
        <f t="shared" si="6"/>
        <v>7</v>
      </c>
      <c r="G207" t="s">
        <v>256</v>
      </c>
      <c r="H207" t="s">
        <v>25</v>
      </c>
      <c r="I207" t="s">
        <v>33</v>
      </c>
      <c r="J207" t="s">
        <v>18</v>
      </c>
      <c r="K207" t="s">
        <v>257</v>
      </c>
      <c r="L207" t="s">
        <v>1178</v>
      </c>
      <c r="M207" t="s">
        <v>259</v>
      </c>
      <c r="N207" t="s">
        <v>18</v>
      </c>
    </row>
    <row r="208" spans="1:14" x14ac:dyDescent="0.2">
      <c r="A208" t="s">
        <v>1179</v>
      </c>
      <c r="B208" t="s">
        <v>1180</v>
      </c>
      <c r="C208" t="s">
        <v>101</v>
      </c>
      <c r="D208" t="s">
        <v>194</v>
      </c>
      <c r="E208" t="s">
        <v>167</v>
      </c>
      <c r="F208" s="1">
        <f t="shared" si="6"/>
        <v>7</v>
      </c>
      <c r="G208" t="s">
        <v>16</v>
      </c>
      <c r="H208" t="s">
        <v>25</v>
      </c>
      <c r="I208" t="s">
        <v>195</v>
      </c>
      <c r="J208" t="s">
        <v>1181</v>
      </c>
      <c r="K208" t="s">
        <v>757</v>
      </c>
      <c r="L208" t="s">
        <v>1182</v>
      </c>
      <c r="M208" t="s">
        <v>18</v>
      </c>
      <c r="N208" t="s">
        <v>161</v>
      </c>
    </row>
    <row r="209" spans="1:14" x14ac:dyDescent="0.2">
      <c r="A209" t="s">
        <v>1183</v>
      </c>
      <c r="B209" t="s">
        <v>1184</v>
      </c>
      <c r="C209" t="s">
        <v>21</v>
      </c>
      <c r="D209" t="s">
        <v>22</v>
      </c>
      <c r="E209" t="s">
        <v>59</v>
      </c>
      <c r="F209" s="1">
        <f t="shared" si="6"/>
        <v>7</v>
      </c>
      <c r="G209" t="s">
        <v>16</v>
      </c>
      <c r="H209" t="s">
        <v>25</v>
      </c>
      <c r="I209" t="s">
        <v>332</v>
      </c>
      <c r="J209" t="s">
        <v>1185</v>
      </c>
      <c r="K209" t="s">
        <v>1186</v>
      </c>
      <c r="L209" t="s">
        <v>1187</v>
      </c>
      <c r="M209" t="s">
        <v>18</v>
      </c>
      <c r="N209" t="s">
        <v>266</v>
      </c>
    </row>
    <row r="210" spans="1:14" x14ac:dyDescent="0.2">
      <c r="A210" t="s">
        <v>1188</v>
      </c>
      <c r="B210" t="s">
        <v>1189</v>
      </c>
      <c r="C210" t="s">
        <v>21</v>
      </c>
      <c r="D210" t="s">
        <v>22</v>
      </c>
      <c r="E210" t="s">
        <v>33</v>
      </c>
      <c r="F210" s="1">
        <f t="shared" si="6"/>
        <v>7</v>
      </c>
      <c r="G210" t="s">
        <v>24</v>
      </c>
      <c r="H210" t="s">
        <v>17</v>
      </c>
      <c r="I210" t="s">
        <v>26</v>
      </c>
      <c r="J210" t="s">
        <v>1190</v>
      </c>
      <c r="K210" t="s">
        <v>1191</v>
      </c>
      <c r="L210" t="s">
        <v>1192</v>
      </c>
      <c r="M210" t="s">
        <v>18</v>
      </c>
      <c r="N210" t="s">
        <v>81</v>
      </c>
    </row>
    <row r="211" spans="1:14" x14ac:dyDescent="0.2">
      <c r="A211" t="s">
        <v>1193</v>
      </c>
      <c r="B211" t="s">
        <v>1194</v>
      </c>
      <c r="C211" t="s">
        <v>42</v>
      </c>
      <c r="D211" t="s">
        <v>1195</v>
      </c>
      <c r="E211" t="s">
        <v>223</v>
      </c>
      <c r="F211" s="1">
        <f t="shared" si="6"/>
        <v>7</v>
      </c>
      <c r="G211" t="s">
        <v>395</v>
      </c>
      <c r="H211" t="s">
        <v>60</v>
      </c>
      <c r="I211" t="s">
        <v>223</v>
      </c>
      <c r="J211" t="s">
        <v>1196</v>
      </c>
      <c r="K211" t="s">
        <v>18</v>
      </c>
      <c r="L211" t="s">
        <v>397</v>
      </c>
      <c r="M211" t="s">
        <v>18</v>
      </c>
      <c r="N211" t="s">
        <v>18</v>
      </c>
    </row>
    <row r="212" spans="1:14" x14ac:dyDescent="0.2">
      <c r="A212" t="s">
        <v>1197</v>
      </c>
      <c r="B212" t="s">
        <v>1198</v>
      </c>
      <c r="C212" t="s">
        <v>13</v>
      </c>
      <c r="D212" t="s">
        <v>882</v>
      </c>
      <c r="E212" t="s">
        <v>135</v>
      </c>
      <c r="F212" s="1">
        <f t="shared" si="6"/>
        <v>7</v>
      </c>
      <c r="G212" t="s">
        <v>16</v>
      </c>
      <c r="H212" t="s">
        <v>17</v>
      </c>
      <c r="I212" t="s">
        <v>18</v>
      </c>
      <c r="J212" t="s">
        <v>18</v>
      </c>
      <c r="K212" t="s">
        <v>1199</v>
      </c>
      <c r="L212" t="s">
        <v>1200</v>
      </c>
      <c r="M212" t="s">
        <v>18</v>
      </c>
      <c r="N212" t="s">
        <v>18</v>
      </c>
    </row>
    <row r="213" spans="1:14" x14ac:dyDescent="0.2">
      <c r="A213" t="s">
        <v>1201</v>
      </c>
      <c r="B213" t="s">
        <v>1202</v>
      </c>
      <c r="C213" t="s">
        <v>21</v>
      </c>
      <c r="D213" t="s">
        <v>77</v>
      </c>
      <c r="E213" t="s">
        <v>157</v>
      </c>
      <c r="F213" s="1">
        <f t="shared" si="6"/>
        <v>7</v>
      </c>
      <c r="G213" t="s">
        <v>256</v>
      </c>
      <c r="H213" t="s">
        <v>60</v>
      </c>
      <c r="I213" t="s">
        <v>157</v>
      </c>
      <c r="J213" t="s">
        <v>1203</v>
      </c>
      <c r="K213" t="s">
        <v>1204</v>
      </c>
      <c r="L213" t="s">
        <v>1205</v>
      </c>
      <c r="M213" t="s">
        <v>18</v>
      </c>
      <c r="N213" t="s">
        <v>285</v>
      </c>
    </row>
    <row r="214" spans="1:14" x14ac:dyDescent="0.2">
      <c r="A214" t="s">
        <v>1206</v>
      </c>
      <c r="B214" t="s">
        <v>1207</v>
      </c>
      <c r="C214" t="s">
        <v>13</v>
      </c>
      <c r="D214" t="s">
        <v>208</v>
      </c>
      <c r="E214" t="s">
        <v>23</v>
      </c>
      <c r="F214" s="1">
        <f t="shared" si="6"/>
        <v>7</v>
      </c>
      <c r="G214" t="s">
        <v>16</v>
      </c>
      <c r="H214" t="s">
        <v>25</v>
      </c>
      <c r="I214" t="s">
        <v>23</v>
      </c>
      <c r="J214" t="s">
        <v>18</v>
      </c>
      <c r="K214" t="s">
        <v>1208</v>
      </c>
      <c r="L214" t="s">
        <v>1209</v>
      </c>
      <c r="M214" t="s">
        <v>606</v>
      </c>
      <c r="N214" t="s">
        <v>18</v>
      </c>
    </row>
    <row r="215" spans="1:14" x14ac:dyDescent="0.2">
      <c r="A215" t="s">
        <v>1206</v>
      </c>
      <c r="B215" t="s">
        <v>1210</v>
      </c>
      <c r="C215" t="s">
        <v>13</v>
      </c>
      <c r="D215" t="s">
        <v>208</v>
      </c>
      <c r="E215" t="s">
        <v>332</v>
      </c>
      <c r="F215" s="1">
        <f t="shared" si="6"/>
        <v>7</v>
      </c>
      <c r="G215" t="s">
        <v>24</v>
      </c>
      <c r="H215" t="s">
        <v>25</v>
      </c>
      <c r="I215" t="s">
        <v>332</v>
      </c>
      <c r="J215" t="s">
        <v>1211</v>
      </c>
      <c r="K215" t="s">
        <v>1212</v>
      </c>
      <c r="L215" t="s">
        <v>160</v>
      </c>
      <c r="M215" t="s">
        <v>259</v>
      </c>
      <c r="N215" t="s">
        <v>285</v>
      </c>
    </row>
    <row r="216" spans="1:14" x14ac:dyDescent="0.2">
      <c r="A216" t="s">
        <v>1206</v>
      </c>
      <c r="B216" t="s">
        <v>1213</v>
      </c>
      <c r="C216" t="s">
        <v>42</v>
      </c>
      <c r="D216" t="s">
        <v>376</v>
      </c>
      <c r="E216" t="s">
        <v>249</v>
      </c>
      <c r="F216" s="1">
        <f t="shared" si="6"/>
        <v>7</v>
      </c>
      <c r="G216" t="s">
        <v>406</v>
      </c>
      <c r="H216" t="s">
        <v>25</v>
      </c>
      <c r="I216" t="s">
        <v>249</v>
      </c>
      <c r="J216" t="s">
        <v>1214</v>
      </c>
      <c r="K216" t="s">
        <v>1215</v>
      </c>
      <c r="L216" t="s">
        <v>1216</v>
      </c>
      <c r="M216" t="s">
        <v>517</v>
      </c>
      <c r="N216" t="s">
        <v>1163</v>
      </c>
    </row>
    <row r="217" spans="1:14" x14ac:dyDescent="0.2">
      <c r="A217" t="s">
        <v>1206</v>
      </c>
      <c r="B217" t="s">
        <v>1217</v>
      </c>
      <c r="C217" t="s">
        <v>13</v>
      </c>
      <c r="D217" t="s">
        <v>376</v>
      </c>
      <c r="E217" t="s">
        <v>249</v>
      </c>
      <c r="F217" s="1">
        <f t="shared" si="6"/>
        <v>7</v>
      </c>
      <c r="G217" t="s">
        <v>16</v>
      </c>
      <c r="H217" t="s">
        <v>17</v>
      </c>
      <c r="I217" t="s">
        <v>249</v>
      </c>
      <c r="J217" t="s">
        <v>1218</v>
      </c>
      <c r="K217" t="s">
        <v>1219</v>
      </c>
      <c r="L217" t="s">
        <v>1220</v>
      </c>
      <c r="M217" t="s">
        <v>191</v>
      </c>
      <c r="N217" t="s">
        <v>1221</v>
      </c>
    </row>
    <row r="218" spans="1:14" x14ac:dyDescent="0.2">
      <c r="A218" t="s">
        <v>1206</v>
      </c>
      <c r="B218" t="s">
        <v>1222</v>
      </c>
      <c r="C218" t="s">
        <v>13</v>
      </c>
      <c r="D218" t="s">
        <v>296</v>
      </c>
      <c r="E218" t="s">
        <v>167</v>
      </c>
      <c r="F218" s="1">
        <f t="shared" si="6"/>
        <v>7</v>
      </c>
      <c r="G218" t="s">
        <v>16</v>
      </c>
      <c r="H218" t="s">
        <v>17</v>
      </c>
      <c r="I218" t="s">
        <v>167</v>
      </c>
      <c r="J218" t="s">
        <v>18</v>
      </c>
      <c r="K218" t="s">
        <v>1223</v>
      </c>
      <c r="L218" t="s">
        <v>1224</v>
      </c>
      <c r="M218" t="s">
        <v>55</v>
      </c>
      <c r="N218" t="s">
        <v>18</v>
      </c>
    </row>
    <row r="219" spans="1:14" x14ac:dyDescent="0.2">
      <c r="A219" t="s">
        <v>1206</v>
      </c>
      <c r="B219" t="s">
        <v>1225</v>
      </c>
      <c r="C219" t="s">
        <v>13</v>
      </c>
      <c r="D219" t="s">
        <v>18</v>
      </c>
      <c r="E219" t="s">
        <v>195</v>
      </c>
      <c r="F219" s="1">
        <f t="shared" si="6"/>
        <v>7</v>
      </c>
      <c r="G219" t="s">
        <v>16</v>
      </c>
      <c r="H219" t="s">
        <v>17</v>
      </c>
      <c r="I219" t="s">
        <v>195</v>
      </c>
      <c r="J219" t="s">
        <v>18</v>
      </c>
      <c r="K219" t="s">
        <v>1226</v>
      </c>
      <c r="L219" t="s">
        <v>1227</v>
      </c>
      <c r="M219" t="s">
        <v>55</v>
      </c>
      <c r="N219" t="s">
        <v>18</v>
      </c>
    </row>
    <row r="220" spans="1:14" x14ac:dyDescent="0.2">
      <c r="A220" t="s">
        <v>1206</v>
      </c>
      <c r="B220" t="s">
        <v>1228</v>
      </c>
      <c r="C220" t="s">
        <v>13</v>
      </c>
      <c r="D220" t="s">
        <v>312</v>
      </c>
      <c r="E220" t="s">
        <v>195</v>
      </c>
      <c r="F220" s="1">
        <f t="shared" ref="F220:F246" si="7">MONTH(E220)</f>
        <v>7</v>
      </c>
      <c r="G220" t="s">
        <v>16</v>
      </c>
      <c r="H220" t="s">
        <v>17</v>
      </c>
      <c r="I220" t="s">
        <v>195</v>
      </c>
      <c r="J220" t="s">
        <v>18</v>
      </c>
      <c r="K220" t="s">
        <v>1229</v>
      </c>
      <c r="L220" t="s">
        <v>1230</v>
      </c>
      <c r="M220" t="s">
        <v>517</v>
      </c>
      <c r="N220" t="s">
        <v>18</v>
      </c>
    </row>
    <row r="221" spans="1:14" x14ac:dyDescent="0.2">
      <c r="A221" t="s">
        <v>1206</v>
      </c>
      <c r="B221" t="s">
        <v>1231</v>
      </c>
      <c r="C221" t="s">
        <v>13</v>
      </c>
      <c r="D221" t="s">
        <v>296</v>
      </c>
      <c r="E221" t="s">
        <v>188</v>
      </c>
      <c r="F221" s="1">
        <f t="shared" si="7"/>
        <v>7</v>
      </c>
      <c r="G221" t="s">
        <v>16</v>
      </c>
      <c r="H221" t="s">
        <v>17</v>
      </c>
      <c r="I221" t="s">
        <v>188</v>
      </c>
      <c r="J221" t="s">
        <v>1232</v>
      </c>
      <c r="K221" t="s">
        <v>1233</v>
      </c>
      <c r="L221" t="s">
        <v>1234</v>
      </c>
      <c r="M221" t="s">
        <v>386</v>
      </c>
      <c r="N221" t="s">
        <v>1235</v>
      </c>
    </row>
    <row r="222" spans="1:14" x14ac:dyDescent="0.2">
      <c r="A222" t="s">
        <v>1206</v>
      </c>
      <c r="B222" t="s">
        <v>1236</v>
      </c>
      <c r="C222" t="s">
        <v>13</v>
      </c>
      <c r="D222" t="s">
        <v>215</v>
      </c>
      <c r="E222" t="s">
        <v>51</v>
      </c>
      <c r="F222" s="1">
        <f t="shared" si="7"/>
        <v>7</v>
      </c>
      <c r="G222" t="s">
        <v>24</v>
      </c>
      <c r="H222" t="s">
        <v>25</v>
      </c>
      <c r="I222" t="s">
        <v>1237</v>
      </c>
      <c r="J222" t="s">
        <v>1238</v>
      </c>
      <c r="K222" t="s">
        <v>1239</v>
      </c>
      <c r="L222" t="s">
        <v>1240</v>
      </c>
      <c r="M222" t="s">
        <v>44</v>
      </c>
      <c r="N222" t="s">
        <v>1241</v>
      </c>
    </row>
    <row r="223" spans="1:14" x14ac:dyDescent="0.2">
      <c r="A223" t="s">
        <v>1206</v>
      </c>
      <c r="B223" t="s">
        <v>1242</v>
      </c>
      <c r="C223" t="s">
        <v>13</v>
      </c>
      <c r="D223" t="s">
        <v>45</v>
      </c>
      <c r="E223" t="s">
        <v>69</v>
      </c>
      <c r="F223" s="1">
        <f t="shared" si="7"/>
        <v>7</v>
      </c>
      <c r="G223" t="s">
        <v>16</v>
      </c>
      <c r="H223" t="s">
        <v>17</v>
      </c>
      <c r="I223" t="s">
        <v>69</v>
      </c>
      <c r="J223" t="s">
        <v>1243</v>
      </c>
      <c r="K223" t="s">
        <v>1244</v>
      </c>
      <c r="L223" t="s">
        <v>1245</v>
      </c>
      <c r="M223" t="s">
        <v>584</v>
      </c>
      <c r="N223" t="s">
        <v>172</v>
      </c>
    </row>
    <row r="224" spans="1:14" x14ac:dyDescent="0.2">
      <c r="A224" t="s">
        <v>1206</v>
      </c>
      <c r="B224" t="s">
        <v>1246</v>
      </c>
      <c r="C224" t="s">
        <v>13</v>
      </c>
      <c r="D224" t="s">
        <v>18</v>
      </c>
      <c r="E224" t="s">
        <v>51</v>
      </c>
      <c r="F224" s="1">
        <f t="shared" si="7"/>
        <v>7</v>
      </c>
      <c r="G224" t="s">
        <v>16</v>
      </c>
      <c r="H224" t="s">
        <v>17</v>
      </c>
      <c r="I224" t="s">
        <v>51</v>
      </c>
      <c r="J224" t="s">
        <v>18</v>
      </c>
      <c r="K224" t="s">
        <v>1247</v>
      </c>
      <c r="L224" t="s">
        <v>1248</v>
      </c>
      <c r="M224" t="s">
        <v>259</v>
      </c>
      <c r="N224" t="s">
        <v>18</v>
      </c>
    </row>
    <row r="225" spans="1:14" x14ac:dyDescent="0.2">
      <c r="A225" t="s">
        <v>1249</v>
      </c>
      <c r="B225" t="s">
        <v>1250</v>
      </c>
      <c r="C225" t="s">
        <v>173</v>
      </c>
      <c r="D225" t="s">
        <v>215</v>
      </c>
      <c r="E225" t="s">
        <v>156</v>
      </c>
      <c r="F225" s="1">
        <f t="shared" si="7"/>
        <v>7</v>
      </c>
      <c r="G225" t="s">
        <v>16</v>
      </c>
      <c r="H225" t="s">
        <v>17</v>
      </c>
      <c r="I225" t="s">
        <v>156</v>
      </c>
      <c r="J225" t="s">
        <v>18</v>
      </c>
      <c r="K225" t="s">
        <v>1251</v>
      </c>
      <c r="L225" t="s">
        <v>1252</v>
      </c>
      <c r="M225" t="s">
        <v>83</v>
      </c>
      <c r="N225" t="s">
        <v>18</v>
      </c>
    </row>
    <row r="226" spans="1:14" x14ac:dyDescent="0.2">
      <c r="A226" t="s">
        <v>1253</v>
      </c>
      <c r="B226" t="s">
        <v>1254</v>
      </c>
      <c r="C226" t="s">
        <v>21</v>
      </c>
      <c r="D226" t="s">
        <v>1255</v>
      </c>
      <c r="E226" t="s">
        <v>156</v>
      </c>
      <c r="F226" s="1">
        <f t="shared" si="7"/>
        <v>7</v>
      </c>
      <c r="G226" t="s">
        <v>162</v>
      </c>
      <c r="H226" t="s">
        <v>17</v>
      </c>
      <c r="I226" t="s">
        <v>163</v>
      </c>
      <c r="J226" t="s">
        <v>1256</v>
      </c>
      <c r="K226" t="s">
        <v>1257</v>
      </c>
      <c r="L226" t="s">
        <v>1258</v>
      </c>
      <c r="M226" t="s">
        <v>18</v>
      </c>
      <c r="N226" t="s">
        <v>1259</v>
      </c>
    </row>
    <row r="227" spans="1:14" x14ac:dyDescent="0.2">
      <c r="A227" t="s">
        <v>1260</v>
      </c>
      <c r="B227" t="s">
        <v>1261</v>
      </c>
      <c r="C227" t="s">
        <v>42</v>
      </c>
      <c r="D227" t="s">
        <v>1262</v>
      </c>
      <c r="E227" t="s">
        <v>249</v>
      </c>
      <c r="F227" s="1">
        <f t="shared" si="7"/>
        <v>7</v>
      </c>
      <c r="G227" t="s">
        <v>16</v>
      </c>
      <c r="H227" t="s">
        <v>17</v>
      </c>
      <c r="I227" t="s">
        <v>209</v>
      </c>
      <c r="J227" t="s">
        <v>1263</v>
      </c>
      <c r="K227" t="s">
        <v>1264</v>
      </c>
      <c r="L227" t="s">
        <v>1265</v>
      </c>
      <c r="M227" t="s">
        <v>18</v>
      </c>
      <c r="N227" t="s">
        <v>161</v>
      </c>
    </row>
    <row r="228" spans="1:14" x14ac:dyDescent="0.2">
      <c r="A228" t="s">
        <v>1266</v>
      </c>
      <c r="B228" t="s">
        <v>1267</v>
      </c>
      <c r="C228" t="s">
        <v>173</v>
      </c>
      <c r="D228" t="s">
        <v>43</v>
      </c>
      <c r="E228" t="s">
        <v>156</v>
      </c>
      <c r="F228" s="1">
        <f t="shared" si="7"/>
        <v>7</v>
      </c>
      <c r="G228" t="s">
        <v>16</v>
      </c>
      <c r="H228" t="s">
        <v>25</v>
      </c>
      <c r="I228" t="s">
        <v>156</v>
      </c>
      <c r="J228" t="s">
        <v>18</v>
      </c>
      <c r="K228" t="s">
        <v>1268</v>
      </c>
      <c r="L228" t="s">
        <v>1269</v>
      </c>
      <c r="M228" t="s">
        <v>240</v>
      </c>
      <c r="N228" t="s">
        <v>18</v>
      </c>
    </row>
    <row r="229" spans="1:14" x14ac:dyDescent="0.2">
      <c r="A229" t="s">
        <v>1270</v>
      </c>
      <c r="B229" t="s">
        <v>1271</v>
      </c>
      <c r="C229" t="s">
        <v>13</v>
      </c>
      <c r="D229" t="s">
        <v>43</v>
      </c>
      <c r="E229" t="s">
        <v>69</v>
      </c>
      <c r="F229" s="1">
        <f t="shared" si="7"/>
        <v>7</v>
      </c>
      <c r="G229" t="s">
        <v>16</v>
      </c>
      <c r="H229" t="s">
        <v>17</v>
      </c>
      <c r="I229" t="s">
        <v>69</v>
      </c>
      <c r="J229" t="s">
        <v>18</v>
      </c>
      <c r="K229" t="s">
        <v>1272</v>
      </c>
      <c r="L229" t="s">
        <v>1273</v>
      </c>
      <c r="M229" t="s">
        <v>171</v>
      </c>
      <c r="N229" t="s">
        <v>18</v>
      </c>
    </row>
    <row r="230" spans="1:14" x14ac:dyDescent="0.2">
      <c r="A230" t="s">
        <v>1274</v>
      </c>
      <c r="B230" t="s">
        <v>1275</v>
      </c>
      <c r="C230" t="s">
        <v>21</v>
      </c>
      <c r="D230" t="s">
        <v>68</v>
      </c>
      <c r="E230" t="s">
        <v>23</v>
      </c>
      <c r="F230" s="1">
        <f t="shared" si="7"/>
        <v>7</v>
      </c>
      <c r="G230" t="s">
        <v>16</v>
      </c>
      <c r="H230" t="s">
        <v>25</v>
      </c>
      <c r="I230" t="s">
        <v>59</v>
      </c>
      <c r="J230" t="s">
        <v>1276</v>
      </c>
      <c r="K230" t="s">
        <v>1277</v>
      </c>
      <c r="L230" t="s">
        <v>1278</v>
      </c>
      <c r="M230" t="s">
        <v>18</v>
      </c>
      <c r="N230" t="s">
        <v>124</v>
      </c>
    </row>
    <row r="231" spans="1:14" x14ac:dyDescent="0.2">
      <c r="A231" t="s">
        <v>1279</v>
      </c>
      <c r="B231" t="s">
        <v>1280</v>
      </c>
      <c r="C231" t="s">
        <v>21</v>
      </c>
      <c r="D231" t="s">
        <v>39</v>
      </c>
      <c r="E231" t="s">
        <v>156</v>
      </c>
      <c r="F231" s="1">
        <f t="shared" si="7"/>
        <v>7</v>
      </c>
      <c r="G231" t="s">
        <v>24</v>
      </c>
      <c r="H231" t="s">
        <v>17</v>
      </c>
      <c r="I231" t="s">
        <v>163</v>
      </c>
      <c r="J231" t="s">
        <v>1281</v>
      </c>
      <c r="K231" t="s">
        <v>1282</v>
      </c>
      <c r="L231" t="s">
        <v>1283</v>
      </c>
      <c r="M231" t="s">
        <v>18</v>
      </c>
      <c r="N231" t="s">
        <v>1284</v>
      </c>
    </row>
    <row r="232" spans="1:14" x14ac:dyDescent="0.2">
      <c r="A232" t="s">
        <v>1285</v>
      </c>
      <c r="B232" t="s">
        <v>1286</v>
      </c>
      <c r="C232" t="s">
        <v>21</v>
      </c>
      <c r="D232" t="s">
        <v>39</v>
      </c>
      <c r="E232" t="s">
        <v>51</v>
      </c>
      <c r="F232" s="1">
        <f t="shared" si="7"/>
        <v>7</v>
      </c>
      <c r="G232" t="s">
        <v>16</v>
      </c>
      <c r="H232" t="s">
        <v>25</v>
      </c>
      <c r="I232" t="s">
        <v>127</v>
      </c>
      <c r="J232" t="s">
        <v>1287</v>
      </c>
      <c r="K232" t="s">
        <v>1288</v>
      </c>
      <c r="L232" t="s">
        <v>1289</v>
      </c>
      <c r="M232" t="s">
        <v>18</v>
      </c>
      <c r="N232" t="s">
        <v>1290</v>
      </c>
    </row>
    <row r="233" spans="1:14" x14ac:dyDescent="0.2">
      <c r="A233" t="s">
        <v>1291</v>
      </c>
      <c r="B233" t="s">
        <v>1292</v>
      </c>
      <c r="C233" t="s">
        <v>173</v>
      </c>
      <c r="D233" t="s">
        <v>215</v>
      </c>
      <c r="E233" t="s">
        <v>135</v>
      </c>
      <c r="F233" s="1">
        <f t="shared" si="7"/>
        <v>7</v>
      </c>
      <c r="G233" t="s">
        <v>24</v>
      </c>
      <c r="H233" t="s">
        <v>25</v>
      </c>
      <c r="I233" t="s">
        <v>135</v>
      </c>
      <c r="J233" t="s">
        <v>18</v>
      </c>
      <c r="K233" t="s">
        <v>1293</v>
      </c>
      <c r="L233" t="s">
        <v>1294</v>
      </c>
      <c r="M233" t="s">
        <v>339</v>
      </c>
      <c r="N233" t="s">
        <v>18</v>
      </c>
    </row>
    <row r="234" spans="1:14" x14ac:dyDescent="0.2">
      <c r="A234" t="s">
        <v>1295</v>
      </c>
      <c r="B234" t="s">
        <v>1296</v>
      </c>
      <c r="C234" t="s">
        <v>173</v>
      </c>
      <c r="D234" t="s">
        <v>199</v>
      </c>
      <c r="E234" t="s">
        <v>51</v>
      </c>
      <c r="F234" s="1">
        <f t="shared" si="7"/>
        <v>7</v>
      </c>
      <c r="G234" t="s">
        <v>24</v>
      </c>
      <c r="H234" t="s">
        <v>25</v>
      </c>
      <c r="I234" t="s">
        <v>51</v>
      </c>
      <c r="J234" t="s">
        <v>18</v>
      </c>
      <c r="K234" t="s">
        <v>1297</v>
      </c>
      <c r="L234" t="s">
        <v>1298</v>
      </c>
      <c r="M234" t="s">
        <v>55</v>
      </c>
      <c r="N234" t="s">
        <v>18</v>
      </c>
    </row>
    <row r="235" spans="1:14" x14ac:dyDescent="0.2">
      <c r="A235" t="s">
        <v>1299</v>
      </c>
      <c r="B235" t="s">
        <v>1300</v>
      </c>
      <c r="C235" t="s">
        <v>21</v>
      </c>
      <c r="D235" t="s">
        <v>50</v>
      </c>
      <c r="E235" t="s">
        <v>59</v>
      </c>
      <c r="F235" s="1">
        <f t="shared" si="7"/>
        <v>7</v>
      </c>
      <c r="G235" t="s">
        <v>269</v>
      </c>
      <c r="H235" t="s">
        <v>25</v>
      </c>
      <c r="I235" t="s">
        <v>59</v>
      </c>
      <c r="J235" t="s">
        <v>1301</v>
      </c>
      <c r="K235" t="s">
        <v>1302</v>
      </c>
      <c r="L235" t="s">
        <v>1303</v>
      </c>
      <c r="M235" t="s">
        <v>18</v>
      </c>
      <c r="N235" t="s">
        <v>81</v>
      </c>
    </row>
    <row r="236" spans="1:14" x14ac:dyDescent="0.2">
      <c r="A236" t="s">
        <v>1304</v>
      </c>
      <c r="B236" t="s">
        <v>1305</v>
      </c>
      <c r="C236" t="s">
        <v>13</v>
      </c>
      <c r="D236" t="s">
        <v>187</v>
      </c>
      <c r="E236" t="s">
        <v>135</v>
      </c>
      <c r="F236" s="1">
        <f t="shared" si="7"/>
        <v>7</v>
      </c>
      <c r="G236" t="s">
        <v>24</v>
      </c>
      <c r="H236" t="s">
        <v>25</v>
      </c>
      <c r="I236" t="s">
        <v>135</v>
      </c>
      <c r="J236" t="s">
        <v>18</v>
      </c>
      <c r="K236" t="s">
        <v>1306</v>
      </c>
      <c r="L236" t="s">
        <v>1307</v>
      </c>
      <c r="M236" t="s">
        <v>55</v>
      </c>
      <c r="N236" t="s">
        <v>18</v>
      </c>
    </row>
    <row r="237" spans="1:14" x14ac:dyDescent="0.2">
      <c r="A237" t="s">
        <v>1308</v>
      </c>
      <c r="B237" t="s">
        <v>1309</v>
      </c>
      <c r="C237" t="s">
        <v>21</v>
      </c>
      <c r="D237" t="s">
        <v>342</v>
      </c>
      <c r="E237" t="s">
        <v>23</v>
      </c>
      <c r="F237" s="1">
        <f t="shared" si="7"/>
        <v>7</v>
      </c>
      <c r="G237" t="s">
        <v>24</v>
      </c>
      <c r="H237" t="s">
        <v>25</v>
      </c>
      <c r="I237" t="s">
        <v>59</v>
      </c>
      <c r="J237" t="s">
        <v>1310</v>
      </c>
      <c r="K237" t="s">
        <v>1311</v>
      </c>
      <c r="L237" t="s">
        <v>1312</v>
      </c>
      <c r="M237" t="s">
        <v>18</v>
      </c>
      <c r="N237" t="s">
        <v>109</v>
      </c>
    </row>
    <row r="238" spans="1:14" x14ac:dyDescent="0.2">
      <c r="A238" t="s">
        <v>1313</v>
      </c>
      <c r="B238" t="s">
        <v>1314</v>
      </c>
      <c r="C238" t="s">
        <v>101</v>
      </c>
      <c r="D238" t="s">
        <v>1315</v>
      </c>
      <c r="E238" t="s">
        <v>222</v>
      </c>
      <c r="F238" s="1">
        <f t="shared" si="7"/>
        <v>7</v>
      </c>
      <c r="G238" t="s">
        <v>24</v>
      </c>
      <c r="H238" t="s">
        <v>17</v>
      </c>
      <c r="I238" t="s">
        <v>222</v>
      </c>
      <c r="J238" t="s">
        <v>1316</v>
      </c>
      <c r="K238" t="s">
        <v>1317</v>
      </c>
      <c r="L238" t="s">
        <v>1318</v>
      </c>
      <c r="M238" t="s">
        <v>18</v>
      </c>
      <c r="N238" t="s">
        <v>1319</v>
      </c>
    </row>
    <row r="239" spans="1:14" x14ac:dyDescent="0.2">
      <c r="A239" t="s">
        <v>1320</v>
      </c>
      <c r="B239" t="s">
        <v>1321</v>
      </c>
      <c r="C239" t="s">
        <v>101</v>
      </c>
      <c r="D239" t="s">
        <v>208</v>
      </c>
      <c r="E239" t="s">
        <v>188</v>
      </c>
      <c r="F239" s="1">
        <f t="shared" si="7"/>
        <v>7</v>
      </c>
      <c r="G239" t="s">
        <v>24</v>
      </c>
      <c r="H239" t="s">
        <v>25</v>
      </c>
      <c r="I239" t="s">
        <v>188</v>
      </c>
      <c r="J239" t="s">
        <v>18</v>
      </c>
      <c r="K239" t="s">
        <v>935</v>
      </c>
      <c r="L239" t="s">
        <v>1322</v>
      </c>
      <c r="M239" t="s">
        <v>1323</v>
      </c>
      <c r="N239" t="s">
        <v>18</v>
      </c>
    </row>
    <row r="240" spans="1:14" x14ac:dyDescent="0.2">
      <c r="A240" t="s">
        <v>1324</v>
      </c>
      <c r="B240" t="s">
        <v>1325</v>
      </c>
      <c r="C240" t="s">
        <v>21</v>
      </c>
      <c r="D240" t="s">
        <v>289</v>
      </c>
      <c r="E240" t="s">
        <v>69</v>
      </c>
      <c r="F240" s="1">
        <f t="shared" si="7"/>
        <v>7</v>
      </c>
      <c r="G240" t="s">
        <v>16</v>
      </c>
      <c r="H240" t="s">
        <v>25</v>
      </c>
      <c r="I240" t="s">
        <v>87</v>
      </c>
      <c r="J240" t="s">
        <v>1326</v>
      </c>
      <c r="K240" t="s">
        <v>511</v>
      </c>
      <c r="L240" t="s">
        <v>73</v>
      </c>
      <c r="M240" t="s">
        <v>18</v>
      </c>
      <c r="N240" t="s">
        <v>1327</v>
      </c>
    </row>
    <row r="241" spans="1:14" x14ac:dyDescent="0.2">
      <c r="A241" t="s">
        <v>1328</v>
      </c>
      <c r="B241" t="s">
        <v>1329</v>
      </c>
      <c r="C241" t="s">
        <v>21</v>
      </c>
      <c r="D241" t="s">
        <v>68</v>
      </c>
      <c r="E241" t="s">
        <v>249</v>
      </c>
      <c r="F241" s="1">
        <f t="shared" si="7"/>
        <v>7</v>
      </c>
      <c r="G241" t="s">
        <v>16</v>
      </c>
      <c r="H241" t="s">
        <v>25</v>
      </c>
      <c r="I241" t="s">
        <v>249</v>
      </c>
      <c r="J241" t="s">
        <v>1330</v>
      </c>
      <c r="K241" t="s">
        <v>1331</v>
      </c>
      <c r="L241" t="s">
        <v>1332</v>
      </c>
      <c r="M241" t="s">
        <v>18</v>
      </c>
      <c r="N241" t="s">
        <v>240</v>
      </c>
    </row>
    <row r="242" spans="1:14" x14ac:dyDescent="0.2">
      <c r="A242" t="s">
        <v>1333</v>
      </c>
      <c r="B242" t="s">
        <v>1334</v>
      </c>
      <c r="C242" t="s">
        <v>42</v>
      </c>
      <c r="D242" t="s">
        <v>149</v>
      </c>
      <c r="E242" t="s">
        <v>51</v>
      </c>
      <c r="F242" s="1">
        <f t="shared" si="7"/>
        <v>7</v>
      </c>
      <c r="G242" t="s">
        <v>24</v>
      </c>
      <c r="H242" t="s">
        <v>25</v>
      </c>
      <c r="I242" t="s">
        <v>103</v>
      </c>
      <c r="J242" t="s">
        <v>1335</v>
      </c>
      <c r="K242" t="s">
        <v>1336</v>
      </c>
      <c r="L242" t="s">
        <v>1337</v>
      </c>
      <c r="M242" t="s">
        <v>18</v>
      </c>
      <c r="N242" t="s">
        <v>107</v>
      </c>
    </row>
    <row r="243" spans="1:14" x14ac:dyDescent="0.2">
      <c r="A243" t="s">
        <v>1338</v>
      </c>
      <c r="B243" t="s">
        <v>1339</v>
      </c>
      <c r="C243" t="s">
        <v>173</v>
      </c>
      <c r="D243" t="s">
        <v>43</v>
      </c>
      <c r="E243" t="s">
        <v>59</v>
      </c>
      <c r="F243" s="1">
        <f t="shared" si="7"/>
        <v>7</v>
      </c>
      <c r="G243" t="s">
        <v>24</v>
      </c>
      <c r="H243" t="s">
        <v>17</v>
      </c>
      <c r="I243" t="s">
        <v>59</v>
      </c>
      <c r="J243" t="s">
        <v>1340</v>
      </c>
      <c r="K243" t="s">
        <v>1341</v>
      </c>
      <c r="L243" t="s">
        <v>1342</v>
      </c>
      <c r="M243" t="s">
        <v>923</v>
      </c>
      <c r="N243" t="s">
        <v>205</v>
      </c>
    </row>
    <row r="244" spans="1:14" x14ac:dyDescent="0.2">
      <c r="A244" t="s">
        <v>1343</v>
      </c>
      <c r="B244" t="s">
        <v>1344</v>
      </c>
      <c r="C244" t="s">
        <v>173</v>
      </c>
      <c r="D244" t="s">
        <v>43</v>
      </c>
      <c r="E244" t="s">
        <v>222</v>
      </c>
      <c r="F244" s="1">
        <f t="shared" si="7"/>
        <v>7</v>
      </c>
      <c r="G244" t="s">
        <v>256</v>
      </c>
      <c r="H244" t="s">
        <v>25</v>
      </c>
      <c r="I244" t="s">
        <v>222</v>
      </c>
      <c r="J244" t="s">
        <v>18</v>
      </c>
      <c r="K244" t="s">
        <v>1147</v>
      </c>
      <c r="L244" t="s">
        <v>1345</v>
      </c>
      <c r="M244" t="s">
        <v>55</v>
      </c>
      <c r="N244" t="s">
        <v>18</v>
      </c>
    </row>
    <row r="245" spans="1:14" x14ac:dyDescent="0.2">
      <c r="A245" t="s">
        <v>1346</v>
      </c>
      <c r="B245" t="s">
        <v>1347</v>
      </c>
      <c r="C245" t="s">
        <v>13</v>
      </c>
      <c r="D245" t="s">
        <v>208</v>
      </c>
      <c r="E245" t="s">
        <v>33</v>
      </c>
      <c r="F245" s="1">
        <f t="shared" si="7"/>
        <v>7</v>
      </c>
      <c r="G245" t="s">
        <v>24</v>
      </c>
      <c r="H245" t="s">
        <v>25</v>
      </c>
      <c r="I245" t="s">
        <v>33</v>
      </c>
      <c r="J245" t="s">
        <v>18</v>
      </c>
      <c r="K245" t="s">
        <v>1348</v>
      </c>
      <c r="L245" t="s">
        <v>1349</v>
      </c>
      <c r="M245" t="s">
        <v>55</v>
      </c>
      <c r="N245" t="s">
        <v>18</v>
      </c>
    </row>
    <row r="246" spans="1:14" x14ac:dyDescent="0.2">
      <c r="A246" t="s">
        <v>1350</v>
      </c>
      <c r="B246" t="s">
        <v>1351</v>
      </c>
      <c r="C246" t="s">
        <v>21</v>
      </c>
      <c r="D246" t="s">
        <v>1352</v>
      </c>
      <c r="E246" t="s">
        <v>209</v>
      </c>
      <c r="F246" s="1">
        <f t="shared" si="7"/>
        <v>7</v>
      </c>
      <c r="G246" t="s">
        <v>16</v>
      </c>
      <c r="H246" t="s">
        <v>17</v>
      </c>
      <c r="I246" t="s">
        <v>47</v>
      </c>
      <c r="J246" t="s">
        <v>1353</v>
      </c>
      <c r="K246" t="s">
        <v>1354</v>
      </c>
      <c r="L246" t="s">
        <v>1355</v>
      </c>
      <c r="M246" t="s">
        <v>18</v>
      </c>
      <c r="N246" t="s">
        <v>1356</v>
      </c>
    </row>
  </sheetData>
  <autoFilter ref="A1:N246" xr:uid="{00000000-0001-0000-0000-000000000000}"/>
  <pageMargins left="0.7" right="0.7" top="0.75" bottom="0.75" header="0.3" footer="0.3"/>
  <ignoredErrors>
    <ignoredError sqref="G1:N1 A1:E1 G242:N246 A242:E246 G240:N241 A240:E241 G234:N239 A234:E239 G232:N233 A232:E233 G231:N231 A231:E231 G230:N230 A230:E230 G229:N229 A229:E229 G227:N228 A227:E228 G225:N226 A225:E226 G214:N224 A214:E224 G213:N213 A213:E213 G210:N212 A210:E212 G207:N209 A207:E209 G205:N206 A205:E206 G204:N204 A204:E204 G202:N203 A202:E203 G200:N201 A200:E201 G199:N199 A199:E199 G197:N198 A197:E198 G195:N196 A195:E196 G194:N194 A194:E194 G193:N193 A193:E193 G192:N192 A192:E192 G189:N191 A189:E191 G188:N188 A188:E188 G185:N187 A185:E187 G181:N184 A181:E184 G178:N180 A178:E180 G177:N177 A177:E177 G174:N176 A174:E176 G172:N173 A172:E173 G171:N171 A171:E171 G167:N170 A167:E170 G166:N166 A166:E166 G165:N165 A165:E165 G163:N164 A163:E164 G162:N162 A162:E162 G161:N161 A161:E161 G160:N160 A160:E160 G159:N159 A159:E159 G158:N158 A158:E158 G156:N157 A156:E157 G155:N155 A155:E155 G152:N154 A152:E154 G151:N151 A151:E151 G150:N150 A150:E150 G149:N149 A149:E149 G147:N148 A147:E148 G145:N146 A145:E146 G139:N144 A139:E144 G138:N138 A138:E138 G136:N137 A136:E137 G135:N135 A135:E135 G134:N134 A134:E134 G133:N133 A133:E133 G131:N132 A131:E132 G130:N130 A130:E130 G122:N129 A122:E129 G119:N121 A119:E121 G118:N118 A118:E118 G117:N117 A117:E117 G116:N116 A116:E116 G113:N115 A113:E115 G112:N112 A112:E112 G111:N111 A111:E111 G110:N110 A110:E110 G105:N109 A105:E109 G104:N104 A104:E104 G103:N103 A103:E103 G102:N102 A102:E102 G98:N101 A98:E101 G96:N97 A96:E97 G95:N95 A95:E95 G91:N94 A91:E94 G90:N90 A90:E90 G89:N89 A89:E89 G87:N88 A87:E88 G84:N86 A84:E86 G83:N83 A83:E83 G79:N82 A79:E82 G77:N78 A77:E78 G76:N76 A76:E76 G71:N75 A71:E75 G70:N70 A70:E70 G65:N69 A65:E69 G63:N64 A63:E64 G61:N62 A61:E62 G59:N60 A59:E60 G54:N58 A54:E58 G53:N53 A53:E53 G51:N52 A51:E52 G50:N50 A50:E50 G49:N49 A49:E49 G48:N48 A48:E48 G45:N47 A45:E47 G44:N44 A44:E44 G42:N43 A42:E43 G41:N41 A41:E41 G40:N40 A40:E40 G36:N39 A36:E39 G35:N35 A35:E35 G33:N34 A33:E34 G30:N32 A30:E32 G28:N29 A28:E29 G27:N27 A27:E27 G23:N26 A23:E26 G22:N22 A22:E22 G19:N21 A19:E21 G18:N18 A18:E18 G11:N17 A11:E17 G8:N10 A8:E10 G4:N7 A4:E7 G2:N3 A2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Contreras Castro</cp:lastModifiedBy>
  <dcterms:modified xsi:type="dcterms:W3CDTF">2026-07-21T17:38:36Z</dcterms:modified>
</cp:coreProperties>
</file>