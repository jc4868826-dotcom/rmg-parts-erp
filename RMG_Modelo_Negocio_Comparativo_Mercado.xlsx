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ativo_Mercado" sheetId="1" state="visible" r:id="rId3"/>
    <sheet name="Resumen_KPI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<sst xmlns="http://schemas.openxmlformats.org/spreadsheetml/2006/main" count="176" uniqueCount="103">
  <si>
    <t xml:space="preserve">Proveedor (archivo)</t>
  </si>
  <si>
    <t xml:space="preserve">Marca</t>
  </si>
  <si>
    <t xml:space="preserve">Codigo / Modelo</t>
  </si>
  <si>
    <t xml:space="preserve">Descripcion</t>
  </si>
  <si>
    <t xml:space="preserve">Segmento cliente objetivo</t>
  </si>
  <si>
    <t xml:space="preserve">Categoria</t>
  </si>
  <si>
    <t xml:space="preserve">Unidad</t>
  </si>
  <si>
    <t xml:space="preserve">Costo Neto Unitario
(CLP, sin IVA)</t>
  </si>
  <si>
    <t xml:space="preserve">Margen objetivo
(% sobre venta)</t>
  </si>
  <si>
    <t xml:space="preserve">Precio B2B RMG
(P B2B, CLP)</t>
  </si>
  <si>
    <t xml:space="preserve">Precio Mercado
Referencia (CLP)</t>
  </si>
  <si>
    <t xml:space="preserve">Vendedor / Fuente de mercado</t>
  </si>
  <si>
    <t xml:space="preserve">Brecha vs Mercado
(CLP)</t>
  </si>
  <si>
    <t xml:space="preserve">Brecha vs Mercado
(%)</t>
  </si>
  <si>
    <t xml:space="preserve">Observacion</t>
  </si>
  <si>
    <t xml:space="preserve">Cristian Hughes</t>
  </si>
  <si>
    <t xml:space="preserve">Shell</t>
  </si>
  <si>
    <t xml:space="preserve">Helix HX7 10W40</t>
  </si>
  <si>
    <t xml:space="preserve">Aceite Helix HX7 10W40 - mineral/semisintetico, vehiculos livianos</t>
  </si>
  <si>
    <t xml:space="preserve">Talleres / Concesionarios</t>
  </si>
  <si>
    <t xml:space="preserve">Lubricante</t>
  </si>
  <si>
    <t xml:space="preserve">1 L</t>
  </si>
  <si>
    <t xml:space="preserve">Casauto.cl</t>
  </si>
  <si>
    <t xml:space="preserve">Match exacto de marca y producto</t>
  </si>
  <si>
    <t xml:space="preserve">Helix Ultra 5W40</t>
  </si>
  <si>
    <t xml:space="preserve">Aceite Helix Ultra 5W40 - 100% sintetico, vehiculos livianos</t>
  </si>
  <si>
    <t xml:space="preserve">4 L</t>
  </si>
  <si>
    <t xml:space="preserve">Lubricantes en Linea (lista regular $106.000)</t>
  </si>
  <si>
    <t xml:space="preserve">Rimula R4 L 15W40 CK-4</t>
  </si>
  <si>
    <t xml:space="preserve">Aceite Rimula R4L 15W40 CK-4 - camiones/flotas diesel</t>
  </si>
  <si>
    <t xml:space="preserve">Flotas / Construccion</t>
  </si>
  <si>
    <t xml:space="preserve">Promedio GM Comercializadora / MercadoLibre ($26.990-$29.990)</t>
  </si>
  <si>
    <t xml:space="preserve">Rimula R4X 15W40 CI-4</t>
  </si>
  <si>
    <t xml:space="preserve">Aceite Rimula R4X 15W40 CI-4 - camiones/flotas diesel</t>
  </si>
  <si>
    <t xml:space="preserve">Chile Baterias</t>
  </si>
  <si>
    <t xml:space="preserve">Platin</t>
  </si>
  <si>
    <t xml:space="preserve">55D23R / 60Ah</t>
  </si>
  <si>
    <t xml:space="preserve">Bateria Platin 60Ah 500CCA - automoviles/camionetas</t>
  </si>
  <si>
    <t xml:space="preserve">Bateria</t>
  </si>
  <si>
    <t xml:space="preserve">Ventas El Garage (rango $74.900-$89.900)</t>
  </si>
  <si>
    <t xml:space="preserve">Match exacto de marca; CCA similar</t>
  </si>
  <si>
    <t xml:space="preserve">Q85 EFB / 65Ah</t>
  </si>
  <si>
    <t xml:space="preserve">Bateria Platin Q85 EFB Start-Stop 65Ah - vehiculos modernos</t>
  </si>
  <si>
    <t xml:space="preserve">Concesionarios</t>
  </si>
  <si>
    <t xml:space="preserve">Referencia interna del proveedor (competencia $120.000-$200.000)</t>
  </si>
  <si>
    <t xml:space="preserve">Dato de competencia ya incluido en cotizacion CH</t>
  </si>
  <si>
    <t xml:space="preserve">Vistony</t>
  </si>
  <si>
    <t xml:space="preserve">Vistony Attom</t>
  </si>
  <si>
    <t xml:space="preserve">S320 5W30 ACEA C3/API SN</t>
  </si>
  <si>
    <t xml:space="preserve">Aceite Attom S320 5W30 - sintetico premium, vehiculos livianos</t>
  </si>
  <si>
    <t xml:space="preserve">Vistony Sintek Oil</t>
  </si>
  <si>
    <t xml:space="preserve">S210 10W40 ACEA A3/B4</t>
  </si>
  <si>
    <t xml:space="preserve">Aceite Sintek Oil S210 10W40 - semisintetico, vehiculos livianos</t>
  </si>
  <si>
    <t xml:space="preserve">SalfaSur</t>
  </si>
  <si>
    <t xml:space="preserve">Auster</t>
  </si>
  <si>
    <t xml:space="preserve">MAXFORCE 15W40 CK-4</t>
  </si>
  <si>
    <t xml:space="preserve">Aceite Auster Maxforce 15W40 CK-4 - flotas/camiones diesel</t>
  </si>
  <si>
    <t xml:space="preserve">N/D</t>
  </si>
  <si>
    <t xml:space="preserve">Marca propia red SSUR - sin venta minorista independiente</t>
  </si>
  <si>
    <t xml:space="preserve">Sin comparable directo de mercado abierto; referencia categoria Shell Rimula CK-4</t>
  </si>
  <si>
    <t xml:space="preserve">MAXTECH PRO RX 5W30</t>
  </si>
  <si>
    <t xml:space="preserve">Aceite Auster Maxtech Pro RX 5W30 - vehiculos livianos</t>
  </si>
  <si>
    <t xml:space="preserve">Sin comparable directo de mercado abierto; referencia categoria Attom S320</t>
  </si>
  <si>
    <t xml:space="preserve">YOKO G&amp;B</t>
  </si>
  <si>
    <t xml:space="preserve">N40L / 40Ah</t>
  </si>
  <si>
    <t xml:space="preserve">Bateria Yoko 40Ah - automoviles chicos</t>
  </si>
  <si>
    <t xml:space="preserve">Tienda Salfa (rango inferior de catalogo Yoko)</t>
  </si>
  <si>
    <t xml:space="preserve">Match exacto de marca; mapeo de Ah aproximado</t>
  </si>
  <si>
    <t xml:space="preserve">55D23L / 60Ah</t>
  </si>
  <si>
    <t xml:space="preserve">Bateria Yoko 60Ah 500CCA - automoviles/camionetas</t>
  </si>
  <si>
    <t xml:space="preserve">Neumarex Temuco (rango $95.000-$119.000)</t>
  </si>
  <si>
    <t xml:space="preserve">Match exacto de marca y medida</t>
  </si>
  <si>
    <t xml:space="preserve">NX120-7L / 90Ah</t>
  </si>
  <si>
    <t xml:space="preserve">Bateria Yoko 90Ah - camionetas/SUV</t>
  </si>
  <si>
    <t xml:space="preserve">Talleres / Flotas</t>
  </si>
  <si>
    <t xml:space="preserve">Covepa</t>
  </si>
  <si>
    <t xml:space="preserve">N150 / 150Ah</t>
  </si>
  <si>
    <t xml:space="preserve">Bateria Yoko 150Ah - camiones/buses</t>
  </si>
  <si>
    <t xml:space="preserve">Promedio categoria 150Ah (Implementos, TTP, Raco) - marcas equivalentes</t>
  </si>
  <si>
    <t xml:space="preserve">Sin listado YOKO especifico; referencia de categoria 150Ah</t>
  </si>
  <si>
    <t xml:space="preserve">Kumho</t>
  </si>
  <si>
    <t xml:space="preserve">225/60R16 KR26 98H</t>
  </si>
  <si>
    <t xml:space="preserve">Neumatico Kumho 225/60R16 - automoviles/SUV</t>
  </si>
  <si>
    <t xml:space="preserve">Concesionarios / Talleres</t>
  </si>
  <si>
    <t xml:space="preserve">Neumatico</t>
  </si>
  <si>
    <t xml:space="preserve">Neumax.cl (modelo equivalente Kumho Power Max, mismo aro/medida)</t>
  </si>
  <si>
    <t xml:space="preserve">Match de marca; modelo comparable de catalogo similar</t>
  </si>
  <si>
    <t xml:space="preserve">PROMEDIOS (solo items con dato de mercado)</t>
  </si>
  <si>
    <t xml:space="preserve">RESUMEN EJECUTIVO - RMG AUTO PARTS / Modelo de negocio Talleres-Flotas-Concesionarios-Construccion</t>
  </si>
  <si>
    <t xml:space="preserve">Metodologia de precio</t>
  </si>
  <si>
    <t xml:space="preserve">Precio B2B RMG = Costo Neto Proveedor / (1 - Margen objetivo)</t>
  </si>
  <si>
    <t xml:space="preserve">Margen objetivo aplicado = 35% sobre el precio final de venta (no sobre el costo)</t>
  </si>
  <si>
    <t xml:space="preserve">Ejemplo: Costo $10.000 -&gt; P B2B = 10.000 / 0.65 = $15.385 (margen $5.385 = 35% de $15.385)</t>
  </si>
  <si>
    <t xml:space="preserve">N° SKU analizados</t>
  </si>
  <si>
    <t xml:space="preserve">Costo Neto Prom.</t>
  </si>
  <si>
    <t xml:space="preserve">P B2B Promedio</t>
  </si>
  <si>
    <t xml:space="preserve">Mercado Promedio</t>
  </si>
  <si>
    <t xml:space="preserve">Brecha Promedio %</t>
  </si>
  <si>
    <t xml:space="preserve">Lectura del analisis</t>
  </si>
  <si>
    <t xml:space="preserve">1) En lubricantes y baterias de marca propia/exclusiva (Auster - SalfaSur), no existe venta minorista independiente verificable: son marcas cerradas a la red del distribuidor, lo que es una barrera y a la vez una oportunidad si RMG negocia exclusividad territorial.</t>
  </si>
  <si>
    <t xml:space="preserve">2) En marcas con venta retail abierta (Shell, Platin, Vistony/Attom, Yoko, Kumho) el precio B2B calculado con margen 35% queda sistematicamente por debajo del precio de mercado minorista, validando espacio para vender B2B a talleres/flotas y que estos mantengan su propio margen de reventa.</t>
  </si>
  <si>
    <t xml:space="preserve">3) La brecha es mayor en lubricantes de marca premium (Shell Helix Ultra, Attom) que en baterias, donde el costo de logistica/peso reduce el margen relativo del canal minorista.</t>
  </si>
  <si>
    <t xml:space="preserve">4) Para Auster y otras lineas propias, se recomienda fijar P B2B con el mismo criterio (35%) y validar contra cotizaciones directas a talleres, dado que no hay precio de mercado publico de referencia.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</si>
</sst>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0%"/>
    <numFmt numFmtId="167" formatCode="0.0%"/>
    <numFmt numFmtId="168" formatCode="\$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40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28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5" min="15" style="0" width="36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28.35" hidden="false" customHeight="false" outlineLevel="0" collapsed="false">
      <c r="A2" s="2" t="s">
        <v>15</v>
      </c>
      <c r="B2" s="2" t="s">
        <v>16</v>
      </c>
      <c r="C2" s="2" t="s">
        <v>17</v>
      </c>
      <c r="D2" s="3" t="s">
        <v>18</v>
      </c>
      <c r="E2" s="2" t="s">
        <v>19</v>
      </c>
      <c r="F2" s="2" t="s">
        <v>20</v>
      </c>
      <c r="G2" s="2" t="s">
        <v>21</v>
      </c>
      <c r="H2" s="4" t="n">
        <v>5600</v>
      </c>
      <c r="I2" s="5" t="n">
        <v>0.35</v>
      </c>
      <c r="J2" s="6" t="n">
        <f aca="false">H2/(1-I2)</f>
        <v>8615.38461538462</v>
      </c>
      <c r="K2" s="4" t="n">
        <v>12990</v>
      </c>
      <c r="L2" s="3" t="s">
        <v>22</v>
      </c>
      <c r="M2" s="6" t="n">
        <f aca="false">K2-J2</f>
        <v>4374.61538461539</v>
      </c>
      <c r="N2" s="7" t="n">
        <f aca="false">IFERROR(M2/K2,"N/D")</f>
        <v>0.336767927991947</v>
      </c>
      <c r="O2" s="3" t="s">
        <v>23</v>
      </c>
    </row>
    <row r="3" customFormat="false" ht="28.35" hidden="false" customHeight="false" outlineLevel="0" collapsed="false">
      <c r="A3" s="2" t="s">
        <v>15</v>
      </c>
      <c r="B3" s="2" t="s">
        <v>16</v>
      </c>
      <c r="C3" s="2" t="s">
        <v>24</v>
      </c>
      <c r="D3" s="3" t="s">
        <v>25</v>
      </c>
      <c r="E3" s="2" t="s">
        <v>19</v>
      </c>
      <c r="F3" s="2" t="s">
        <v>20</v>
      </c>
      <c r="G3" s="2" t="s">
        <v>26</v>
      </c>
      <c r="H3" s="4" t="n">
        <v>42990</v>
      </c>
      <c r="I3" s="5" t="n">
        <v>0.35</v>
      </c>
      <c r="J3" s="6" t="n">
        <f aca="false">H3/(1-I3)</f>
        <v>66138.4615384615</v>
      </c>
      <c r="K3" s="4" t="n">
        <v>97520</v>
      </c>
      <c r="L3" s="3" t="s">
        <v>27</v>
      </c>
      <c r="M3" s="6" t="n">
        <f aca="false">K3-J3</f>
        <v>31381.5384615385</v>
      </c>
      <c r="N3" s="7" t="n">
        <f aca="false">IFERROR(M3/K3,"N/D")</f>
        <v>0.321795923518647</v>
      </c>
      <c r="O3" s="3" t="s">
        <v>23</v>
      </c>
    </row>
    <row r="4" customFormat="false" ht="55.2" hidden="false" customHeight="false" outlineLevel="0" collapsed="false">
      <c r="A4" s="2" t="s">
        <v>15</v>
      </c>
      <c r="B4" s="2" t="s">
        <v>16</v>
      </c>
      <c r="C4" s="2" t="s">
        <v>28</v>
      </c>
      <c r="D4" s="3" t="s">
        <v>29</v>
      </c>
      <c r="E4" s="2" t="s">
        <v>30</v>
      </c>
      <c r="F4" s="2" t="s">
        <v>20</v>
      </c>
      <c r="G4" s="2" t="s">
        <v>26</v>
      </c>
      <c r="H4" s="4" t="n">
        <v>18990</v>
      </c>
      <c r="I4" s="5" t="n">
        <v>0.35</v>
      </c>
      <c r="J4" s="6" t="n">
        <f aca="false">H4/(1-I4)</f>
        <v>29215.3846153846</v>
      </c>
      <c r="K4" s="4" t="n">
        <v>28490</v>
      </c>
      <c r="L4" s="3" t="s">
        <v>31</v>
      </c>
      <c r="M4" s="6" t="n">
        <f aca="false">K4-J4</f>
        <v>-725.384615384613</v>
      </c>
      <c r="N4" s="7" t="n">
        <f aca="false">IFERROR(M4/K4,"N/D")</f>
        <v>-0.0254610254610254</v>
      </c>
      <c r="O4" s="3" t="s">
        <v>23</v>
      </c>
    </row>
    <row r="5" customFormat="false" ht="28.35" hidden="false" customHeight="false" outlineLevel="0" collapsed="false">
      <c r="A5" s="2" t="s">
        <v>15</v>
      </c>
      <c r="B5" s="2" t="s">
        <v>16</v>
      </c>
      <c r="C5" s="2" t="s">
        <v>32</v>
      </c>
      <c r="D5" s="3" t="s">
        <v>33</v>
      </c>
      <c r="E5" s="2" t="s">
        <v>30</v>
      </c>
      <c r="F5" s="2" t="s">
        <v>20</v>
      </c>
      <c r="G5" s="2" t="s">
        <v>26</v>
      </c>
      <c r="H5" s="4" t="n">
        <v>17500</v>
      </c>
      <c r="I5" s="5" t="n">
        <v>0.35</v>
      </c>
      <c r="J5" s="6" t="n">
        <f aca="false">H5/(1-I5)</f>
        <v>26923.0769230769</v>
      </c>
      <c r="K5" s="4" t="n">
        <v>24990</v>
      </c>
      <c r="L5" s="3" t="s">
        <v>34</v>
      </c>
      <c r="M5" s="6" t="n">
        <f aca="false">K5-J5</f>
        <v>-1933.07692307692</v>
      </c>
      <c r="N5" s="7" t="n">
        <f aca="false">IFERROR(M5/K5,"N/D")</f>
        <v>-0.0773540185304891</v>
      </c>
      <c r="O5" s="3" t="s">
        <v>23</v>
      </c>
    </row>
    <row r="6" customFormat="false" ht="28.35" hidden="false" customHeight="false" outlineLevel="0" collapsed="false">
      <c r="A6" s="2" t="s">
        <v>15</v>
      </c>
      <c r="B6" s="2" t="s">
        <v>35</v>
      </c>
      <c r="C6" s="2" t="s">
        <v>36</v>
      </c>
      <c r="D6" s="3" t="s">
        <v>37</v>
      </c>
      <c r="E6" s="2" t="s">
        <v>19</v>
      </c>
      <c r="F6" s="2" t="s">
        <v>38</v>
      </c>
      <c r="G6" s="2" t="s">
        <v>6</v>
      </c>
      <c r="H6" s="4" t="n">
        <v>40500</v>
      </c>
      <c r="I6" s="5" t="n">
        <v>0.35</v>
      </c>
      <c r="J6" s="6" t="n">
        <f aca="false">H6/(1-I6)</f>
        <v>62307.6923076923</v>
      </c>
      <c r="K6" s="4" t="n">
        <v>82400</v>
      </c>
      <c r="L6" s="3" t="s">
        <v>39</v>
      </c>
      <c r="M6" s="6" t="n">
        <f aca="false">K6-J6</f>
        <v>20092.3076923077</v>
      </c>
      <c r="N6" s="7" t="n">
        <f aca="false">IFERROR(M6/K6,"N/D")</f>
        <v>0.243838685586258</v>
      </c>
      <c r="O6" s="3" t="s">
        <v>40</v>
      </c>
    </row>
    <row r="7" customFormat="false" ht="41.75" hidden="false" customHeight="false" outlineLevel="0" collapsed="false">
      <c r="A7" s="2" t="s">
        <v>15</v>
      </c>
      <c r="B7" s="2" t="s">
        <v>35</v>
      </c>
      <c r="C7" s="2" t="s">
        <v>41</v>
      </c>
      <c r="D7" s="3" t="s">
        <v>42</v>
      </c>
      <c r="E7" s="2" t="s">
        <v>43</v>
      </c>
      <c r="F7" s="2" t="s">
        <v>38</v>
      </c>
      <c r="G7" s="2" t="s">
        <v>6</v>
      </c>
      <c r="H7" s="4" t="n">
        <v>68500</v>
      </c>
      <c r="I7" s="5" t="n">
        <v>0.35</v>
      </c>
      <c r="J7" s="6" t="n">
        <f aca="false">H7/(1-I7)</f>
        <v>105384.615384615</v>
      </c>
      <c r="K7" s="4" t="n">
        <v>160000</v>
      </c>
      <c r="L7" s="3" t="s">
        <v>44</v>
      </c>
      <c r="M7" s="6" t="n">
        <f aca="false">K7-J7</f>
        <v>54615.3846153846</v>
      </c>
      <c r="N7" s="7" t="n">
        <f aca="false">IFERROR(M7/K7,"N/D")</f>
        <v>0.341346153846154</v>
      </c>
      <c r="O7" s="3" t="s">
        <v>45</v>
      </c>
    </row>
    <row r="8" customFormat="false" ht="28.35" hidden="false" customHeight="false" outlineLevel="0" collapsed="false">
      <c r="A8" s="2" t="s">
        <v>46</v>
      </c>
      <c r="B8" s="2" t="s">
        <v>47</v>
      </c>
      <c r="C8" s="2" t="s">
        <v>48</v>
      </c>
      <c r="D8" s="3" t="s">
        <v>49</v>
      </c>
      <c r="E8" s="2" t="s">
        <v>19</v>
      </c>
      <c r="F8" s="2" t="s">
        <v>20</v>
      </c>
      <c r="G8" s="2" t="s">
        <v>21</v>
      </c>
      <c r="H8" s="4" t="n">
        <v>4478</v>
      </c>
      <c r="I8" s="5" t="n">
        <v>0.35</v>
      </c>
      <c r="J8" s="6" t="n">
        <f aca="false">H8/(1-I8)</f>
        <v>6889.23076923077</v>
      </c>
      <c r="K8" s="4" t="n">
        <v>19990</v>
      </c>
      <c r="L8" s="3" t="s">
        <v>22</v>
      </c>
      <c r="M8" s="6" t="n">
        <f aca="false">K8-J8</f>
        <v>13100.7692307692</v>
      </c>
      <c r="N8" s="7" t="n">
        <f aca="false">IFERROR(M8/K8,"N/D")</f>
        <v>0.655366144610767</v>
      </c>
      <c r="O8" s="3" t="s">
        <v>23</v>
      </c>
    </row>
    <row r="9" customFormat="false" ht="28.35" hidden="false" customHeight="false" outlineLevel="0" collapsed="false">
      <c r="A9" s="2" t="s">
        <v>46</v>
      </c>
      <c r="B9" s="2" t="s">
        <v>50</v>
      </c>
      <c r="C9" s="2" t="s">
        <v>51</v>
      </c>
      <c r="D9" s="3" t="s">
        <v>52</v>
      </c>
      <c r="E9" s="2" t="s">
        <v>19</v>
      </c>
      <c r="F9" s="2" t="s">
        <v>20</v>
      </c>
      <c r="G9" s="2" t="s">
        <v>21</v>
      </c>
      <c r="H9" s="4" t="n">
        <v>4809</v>
      </c>
      <c r="I9" s="5" t="n">
        <v>0.35</v>
      </c>
      <c r="J9" s="6" t="n">
        <f aca="false">H9/(1-I9)</f>
        <v>7398.46153846154</v>
      </c>
      <c r="K9" s="4" t="n">
        <v>21990</v>
      </c>
      <c r="L9" s="3" t="s">
        <v>22</v>
      </c>
      <c r="M9" s="6" t="n">
        <f aca="false">K9-J9</f>
        <v>14591.5384615385</v>
      </c>
      <c r="N9" s="7" t="n">
        <f aca="false">IFERROR(M9/K9,"N/D")</f>
        <v>0.663553363416938</v>
      </c>
      <c r="O9" s="3" t="s">
        <v>23</v>
      </c>
    </row>
    <row r="10" customFormat="false" ht="41.75" hidden="false" customHeight="false" outlineLevel="0" collapsed="false">
      <c r="A10" s="2" t="s">
        <v>53</v>
      </c>
      <c r="B10" s="2" t="s">
        <v>54</v>
      </c>
      <c r="C10" s="2" t="s">
        <v>55</v>
      </c>
      <c r="D10" s="3" t="s">
        <v>56</v>
      </c>
      <c r="E10" s="2" t="s">
        <v>30</v>
      </c>
      <c r="F10" s="2" t="s">
        <v>20</v>
      </c>
      <c r="G10" s="2" t="s">
        <v>21</v>
      </c>
      <c r="H10" s="4" t="n">
        <v>3385</v>
      </c>
      <c r="I10" s="5" t="n">
        <v>0.35</v>
      </c>
      <c r="J10" s="6" t="n">
        <f aca="false">H10/(1-I10)</f>
        <v>5207.69230769231</v>
      </c>
      <c r="K10" s="8" t="s">
        <v>57</v>
      </c>
      <c r="L10" s="3" t="s">
        <v>58</v>
      </c>
      <c r="M10" s="8" t="s">
        <v>57</v>
      </c>
      <c r="N10" s="2" t="s">
        <v>57</v>
      </c>
      <c r="O10" s="3" t="s">
        <v>59</v>
      </c>
    </row>
    <row r="11" customFormat="false" ht="28.35" hidden="false" customHeight="false" outlineLevel="0" collapsed="false">
      <c r="A11" s="2" t="s">
        <v>53</v>
      </c>
      <c r="B11" s="2" t="s">
        <v>54</v>
      </c>
      <c r="C11" s="2" t="s">
        <v>60</v>
      </c>
      <c r="D11" s="3" t="s">
        <v>61</v>
      </c>
      <c r="E11" s="2" t="s">
        <v>19</v>
      </c>
      <c r="F11" s="2" t="s">
        <v>20</v>
      </c>
      <c r="G11" s="2" t="s">
        <v>21</v>
      </c>
      <c r="H11" s="4" t="n">
        <v>3116</v>
      </c>
      <c r="I11" s="5" t="n">
        <v>0.35</v>
      </c>
      <c r="J11" s="6" t="n">
        <f aca="false">H11/(1-I11)</f>
        <v>4793.84615384615</v>
      </c>
      <c r="K11" s="8" t="s">
        <v>57</v>
      </c>
      <c r="L11" s="3" t="s">
        <v>58</v>
      </c>
      <c r="M11" s="8" t="s">
        <v>57</v>
      </c>
      <c r="N11" s="2" t="s">
        <v>57</v>
      </c>
      <c r="O11" s="3" t="s">
        <v>62</v>
      </c>
    </row>
    <row r="12" customFormat="false" ht="28.35" hidden="false" customHeight="false" outlineLevel="0" collapsed="false">
      <c r="A12" s="2" t="s">
        <v>53</v>
      </c>
      <c r="B12" s="2" t="s">
        <v>63</v>
      </c>
      <c r="C12" s="2" t="s">
        <v>64</v>
      </c>
      <c r="D12" s="3" t="s">
        <v>65</v>
      </c>
      <c r="E12" s="2" t="s">
        <v>19</v>
      </c>
      <c r="F12" s="2" t="s">
        <v>38</v>
      </c>
      <c r="G12" s="2" t="s">
        <v>6</v>
      </c>
      <c r="H12" s="4" t="n">
        <v>35579</v>
      </c>
      <c r="I12" s="5" t="n">
        <v>0.35</v>
      </c>
      <c r="J12" s="6" t="n">
        <f aca="false">H12/(1-I12)</f>
        <v>54736.9230769231</v>
      </c>
      <c r="K12" s="4" t="n">
        <v>56260</v>
      </c>
      <c r="L12" s="3" t="s">
        <v>66</v>
      </c>
      <c r="M12" s="6" t="n">
        <f aca="false">K12-J12</f>
        <v>1523.07692307692</v>
      </c>
      <c r="N12" s="7" t="n">
        <f aca="false">IFERROR(M12/K12,"N/D")</f>
        <v>0.0270721102573218</v>
      </c>
      <c r="O12" s="3" t="s">
        <v>67</v>
      </c>
    </row>
    <row r="13" customFormat="false" ht="28.35" hidden="false" customHeight="false" outlineLevel="0" collapsed="false">
      <c r="A13" s="2" t="s">
        <v>53</v>
      </c>
      <c r="B13" s="2" t="s">
        <v>63</v>
      </c>
      <c r="C13" s="2" t="s">
        <v>68</v>
      </c>
      <c r="D13" s="3" t="s">
        <v>69</v>
      </c>
      <c r="E13" s="2" t="s">
        <v>19</v>
      </c>
      <c r="F13" s="2" t="s">
        <v>38</v>
      </c>
      <c r="G13" s="2" t="s">
        <v>6</v>
      </c>
      <c r="H13" s="4" t="n">
        <v>53440</v>
      </c>
      <c r="I13" s="5" t="n">
        <v>0.35</v>
      </c>
      <c r="J13" s="6" t="n">
        <f aca="false">H13/(1-I13)</f>
        <v>82215.3846153846</v>
      </c>
      <c r="K13" s="4" t="n">
        <v>107000</v>
      </c>
      <c r="L13" s="3" t="s">
        <v>70</v>
      </c>
      <c r="M13" s="6" t="n">
        <f aca="false">K13-J13</f>
        <v>24784.6153846154</v>
      </c>
      <c r="N13" s="7" t="n">
        <f aca="false">IFERROR(M13/K13,"N/D")</f>
        <v>0.231631919482387</v>
      </c>
      <c r="O13" s="3" t="s">
        <v>71</v>
      </c>
    </row>
    <row r="14" customFormat="false" ht="15" hidden="false" customHeight="false" outlineLevel="0" collapsed="false">
      <c r="A14" s="2" t="s">
        <v>53</v>
      </c>
      <c r="B14" s="2" t="s">
        <v>63</v>
      </c>
      <c r="C14" s="2" t="s">
        <v>72</v>
      </c>
      <c r="D14" s="3" t="s">
        <v>73</v>
      </c>
      <c r="E14" s="2" t="s">
        <v>74</v>
      </c>
      <c r="F14" s="2" t="s">
        <v>38</v>
      </c>
      <c r="G14" s="2" t="s">
        <v>6</v>
      </c>
      <c r="H14" s="4" t="n">
        <v>70842</v>
      </c>
      <c r="I14" s="5" t="n">
        <v>0.35</v>
      </c>
      <c r="J14" s="6" t="n">
        <f aca="false">H14/(1-I14)</f>
        <v>108987.692307692</v>
      </c>
      <c r="K14" s="4" t="n">
        <v>140190</v>
      </c>
      <c r="L14" s="3" t="s">
        <v>75</v>
      </c>
      <c r="M14" s="6" t="n">
        <f aca="false">K14-J14</f>
        <v>31202.3076923077</v>
      </c>
      <c r="N14" s="7" t="n">
        <f aca="false">IFERROR(M14/K14,"N/D")</f>
        <v>0.222571564964032</v>
      </c>
      <c r="O14" s="3" t="s">
        <v>71</v>
      </c>
    </row>
    <row r="15" customFormat="false" ht="41.75" hidden="false" customHeight="false" outlineLevel="0" collapsed="false">
      <c r="A15" s="2" t="s">
        <v>53</v>
      </c>
      <c r="B15" s="2" t="s">
        <v>63</v>
      </c>
      <c r="C15" s="2" t="s">
        <v>76</v>
      </c>
      <c r="D15" s="3" t="s">
        <v>77</v>
      </c>
      <c r="E15" s="2" t="s">
        <v>30</v>
      </c>
      <c r="F15" s="2" t="s">
        <v>38</v>
      </c>
      <c r="G15" s="2" t="s">
        <v>6</v>
      </c>
      <c r="H15" s="4" t="n">
        <v>129164</v>
      </c>
      <c r="I15" s="5" t="n">
        <v>0.35</v>
      </c>
      <c r="J15" s="6" t="n">
        <f aca="false">H15/(1-I15)</f>
        <v>198713.846153846</v>
      </c>
      <c r="K15" s="4" t="n">
        <v>150000</v>
      </c>
      <c r="L15" s="3" t="s">
        <v>78</v>
      </c>
      <c r="M15" s="6" t="n">
        <f aca="false">K15-J15</f>
        <v>-48713.8461538462</v>
      </c>
      <c r="N15" s="7" t="n">
        <f aca="false">IFERROR(M15/K15,"N/D")</f>
        <v>-0.324758974358974</v>
      </c>
      <c r="O15" s="3" t="s">
        <v>79</v>
      </c>
    </row>
    <row r="16" customFormat="false" ht="41.75" hidden="false" customHeight="false" outlineLevel="0" collapsed="false">
      <c r="A16" s="2" t="s">
        <v>53</v>
      </c>
      <c r="B16" s="2" t="s">
        <v>80</v>
      </c>
      <c r="C16" s="2" t="s">
        <v>81</v>
      </c>
      <c r="D16" s="3" t="s">
        <v>82</v>
      </c>
      <c r="E16" s="2" t="s">
        <v>83</v>
      </c>
      <c r="F16" s="2" t="s">
        <v>84</v>
      </c>
      <c r="G16" s="2" t="s">
        <v>6</v>
      </c>
      <c r="H16" s="4" t="n">
        <v>59516</v>
      </c>
      <c r="I16" s="5" t="n">
        <v>0.35</v>
      </c>
      <c r="J16" s="6" t="n">
        <f aca="false">H16/(1-I16)</f>
        <v>91563.0769230769</v>
      </c>
      <c r="K16" s="4" t="n">
        <v>80000</v>
      </c>
      <c r="L16" s="3" t="s">
        <v>85</v>
      </c>
      <c r="M16" s="6" t="n">
        <f aca="false">K16-J16</f>
        <v>-11563.0769230769</v>
      </c>
      <c r="N16" s="7" t="n">
        <f aca="false">IFERROR(M16/K16,"N/D")</f>
        <v>-0.144538461538462</v>
      </c>
      <c r="O16" s="3" t="s">
        <v>86</v>
      </c>
    </row>
    <row r="18" customFormat="false" ht="15" hidden="false" customHeight="false" outlineLevel="0" collapsed="false">
      <c r="D18" s="9" t="s">
        <v>87</v>
      </c>
      <c r="H18" s="10" t="n">
        <f aca="false">AVERAGE(H2:H16)</f>
        <v>37227.2666666667</v>
      </c>
      <c r="J18" s="10" t="n">
        <f aca="false">AVERAGE(J2:J16)</f>
        <v>57272.717948718</v>
      </c>
      <c r="K18" s="10" t="n">
        <f aca="false">AVERAGEIF(K2:K16,"&gt;0")</f>
        <v>75524.6153846154</v>
      </c>
      <c r="N18" s="11" t="n">
        <f aca="false">AVERAGEIF(N2:N16,"&lt;&gt;N/D")</f>
        <v>0.190140870291192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6"/>
  </cols>
  <sheetData>
    <row r="1" customFormat="false" ht="16.15" hidden="false" customHeight="false" outlineLevel="0" collapsed="false">
      <c r="A1" s="12" t="s">
        <v>88</v>
      </c>
      <c r="B1" s="12"/>
      <c r="C1" s="12"/>
      <c r="D1" s="12"/>
      <c r="E1" s="12"/>
      <c r="F1" s="12"/>
    </row>
    <row r="3" customFormat="false" ht="15" hidden="false" customHeight="false" outlineLevel="0" collapsed="false">
      <c r="A3" s="13" t="s">
        <v>89</v>
      </c>
    </row>
    <row r="4" customFormat="false" ht="15" hidden="false" customHeight="false" outlineLevel="0" collapsed="false">
      <c r="A4" s="14" t="s">
        <v>90</v>
      </c>
    </row>
    <row r="5" customFormat="false" ht="15" hidden="false" customHeight="false" outlineLevel="0" collapsed="false">
      <c r="A5" s="14" t="s">
        <v>91</v>
      </c>
    </row>
    <row r="6" customFormat="false" ht="15" hidden="false" customHeight="false" outlineLevel="0" collapsed="false">
      <c r="A6" s="14" t="s">
        <v>92</v>
      </c>
    </row>
    <row r="8" customFormat="false" ht="23.85" hidden="false" customHeight="false" outlineLevel="0" collapsed="false">
      <c r="A8" s="15" t="s">
        <v>5</v>
      </c>
      <c r="B8" s="15" t="s">
        <v>93</v>
      </c>
      <c r="C8" s="15" t="s">
        <v>94</v>
      </c>
      <c r="D8" s="15" t="s">
        <v>95</v>
      </c>
      <c r="E8" s="15" t="s">
        <v>96</v>
      </c>
      <c r="F8" s="15" t="s">
        <v>97</v>
      </c>
    </row>
    <row r="9" customFormat="false" ht="15" hidden="false" customHeight="false" outlineLevel="0" collapsed="false">
      <c r="A9" s="0" t="s">
        <v>20</v>
      </c>
      <c r="B9" s="0" t="n">
        <f aca="false">COUNTIF(Comparativo_Mercado!F2:F16,A9)</f>
        <v>8</v>
      </c>
      <c r="C9" s="16" t="n">
        <f aca="false">AVERAGEIF(Comparativo_Mercado!F2:F16,A9,Comparativo_Mercado!H2:H16)</f>
        <v>12608.5</v>
      </c>
      <c r="D9" s="16" t="n">
        <f aca="false">AVERAGEIF(Comparativo_Mercado!F2:F16,A9,Comparativo_Mercado!J2:J16)</f>
        <v>19397.6923076923</v>
      </c>
      <c r="E9" s="16" t="n">
        <f aca="false">IFERROR(AVERAGEIFS(Comparativo_Mercado!K2:K16,Comparativo_Mercado!F2:F16,A9,Comparativo_Mercado!K2:K16,"&gt;0"),"N/D")</f>
        <v>34328.3333333333</v>
      </c>
      <c r="F9" s="17" t="n">
        <f aca="false">IFERROR(AVERAGEIFS(Comparativo_Mercado!N2:N16,Comparativo_Mercado!F2:F16,A9,Comparativo_Mercado!K2:K16,"&gt;0"),"N/D")</f>
        <v>0.312444719257797</v>
      </c>
    </row>
    <row r="10" customFormat="false" ht="15" hidden="false" customHeight="false" outlineLevel="0" collapsed="false">
      <c r="A10" s="0" t="s">
        <v>38</v>
      </c>
      <c r="B10" s="0" t="n">
        <f aca="false">COUNTIF(Comparativo_Mercado!F2:F16,A10)</f>
        <v>6</v>
      </c>
      <c r="C10" s="16" t="n">
        <f aca="false">AVERAGEIF(Comparativo_Mercado!F2:F16,A10,Comparativo_Mercado!H2:H16)</f>
        <v>66337.5</v>
      </c>
      <c r="D10" s="16" t="n">
        <f aca="false">AVERAGEIF(Comparativo_Mercado!F2:F16,A10,Comparativo_Mercado!J2:J16)</f>
        <v>102057.692307692</v>
      </c>
      <c r="E10" s="16" t="n">
        <f aca="false">IFERROR(AVERAGEIFS(Comparativo_Mercado!K2:K16,Comparativo_Mercado!F2:F16,A10,Comparativo_Mercado!K2:K16,"&gt;0"),"N/D")</f>
        <v>115975</v>
      </c>
      <c r="F10" s="17" t="n">
        <f aca="false">IFERROR(AVERAGEIFS(Comparativo_Mercado!N2:N16,Comparativo_Mercado!F2:F16,A10,Comparativo_Mercado!K2:K16,"&gt;0"),"N/D")</f>
        <v>0.123616909962863</v>
      </c>
    </row>
    <row r="11" customFormat="false" ht="15" hidden="false" customHeight="false" outlineLevel="0" collapsed="false">
      <c r="A11" s="0" t="s">
        <v>84</v>
      </c>
      <c r="B11" s="0" t="n">
        <f aca="false">COUNTIF(Comparativo_Mercado!F2:F16,A11)</f>
        <v>1</v>
      </c>
      <c r="C11" s="16" t="n">
        <f aca="false">AVERAGEIF(Comparativo_Mercado!F2:F16,A11,Comparativo_Mercado!H2:H16)</f>
        <v>59516</v>
      </c>
      <c r="D11" s="16" t="n">
        <f aca="false">AVERAGEIF(Comparativo_Mercado!F2:F16,A11,Comparativo_Mercado!J2:J16)</f>
        <v>91563.0769230769</v>
      </c>
      <c r="E11" s="16" t="n">
        <f aca="false">IFERROR(AVERAGEIFS(Comparativo_Mercado!K2:K16,Comparativo_Mercado!F2:F16,A11,Comparativo_Mercado!K2:K16,"&gt;0"),"N/D")</f>
        <v>80000</v>
      </c>
      <c r="F11" s="17" t="n">
        <f aca="false">IFERROR(AVERAGEIFS(Comparativo_Mercado!N2:N16,Comparativo_Mercado!F2:F16,A11,Comparativo_Mercado!K2:K16,"&gt;0"),"N/D")</f>
        <v>-0.144538461538462</v>
      </c>
    </row>
    <row r="14" customFormat="false" ht="15" hidden="false" customHeight="false" outlineLevel="0" collapsed="false">
      <c r="A14" s="13" t="s">
        <v>98</v>
      </c>
    </row>
    <row r="15" customFormat="false" ht="30" hidden="false" customHeight="true" outlineLevel="0" collapsed="false">
      <c r="A15" s="18" t="s">
        <v>99</v>
      </c>
      <c r="B15" s="18"/>
      <c r="C15" s="18"/>
      <c r="D15" s="18"/>
      <c r="E15" s="18"/>
      <c r="F15" s="18"/>
    </row>
    <row r="16" customFormat="false" ht="30" hidden="false" customHeight="true" outlineLevel="0" collapsed="false">
      <c r="A16" s="18" t="s">
        <v>100</v>
      </c>
      <c r="B16" s="18"/>
      <c r="C16" s="18"/>
      <c r="D16" s="18"/>
      <c r="E16" s="18"/>
      <c r="F16" s="18"/>
    </row>
    <row r="17" customFormat="false" ht="30" hidden="false" customHeight="true" outlineLevel="0" collapsed="false">
      <c r="A17" s="18" t="s">
        <v>101</v>
      </c>
      <c r="B17" s="18"/>
      <c r="C17" s="18"/>
      <c r="D17" s="18"/>
      <c r="E17" s="18"/>
      <c r="F17" s="18"/>
    </row>
    <row r="18" customFormat="false" ht="30" hidden="false" customHeight="true" outlineLevel="0" collapsed="false">
      <c r="A18" s="18" t="s">
        <v>102</v>
      </c>
      <c r="B18" s="18"/>
      <c r="C18" s="18"/>
      <c r="D18" s="18"/>
      <c r="E18" s="18"/>
      <c r="F18" s="18"/>
    </row>
  </sheetData>
  <mergeCells count="5">
    <mergeCell ref="A1:F1"/>
    <mergeCell ref="A15:F15"/>
    <mergeCell ref="A16:F16"/>
    <mergeCell ref="A17:F17"/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2026-06-30T22:25:56Z</dcterms:created>
  <dc:creator>openpyxl</dc:creator>
  <dc:description/>
  <dc:language>en-US</dc:language>
  <cp:lastModifiedBy/>
  <dcterms:modified xsi:type="dcterms:W3CDTF">2026-06-30T22:25:56Z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