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uce Bases vs Catalogo RM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<sst xmlns="http://schemas.openxmlformats.org/spreadsheetml/2006/main" count="242" uniqueCount="191">
  <si>
    <t xml:space="preserve">RMG AUTO PARTS — Cruce Bases de Licitación vs Catálogo RMG</t>
  </si>
  <si>
    <t xml:space="preserve">Municipalidad de La Florida — Suministro de Aceites y Lubricantes para Vehículos Municipales | Expediente 6239/2026 · Decreto Exento N°06652/2026 | Presupuesto referencial $15.000.000 IVA incluido | Use los botones [+/-] sobre las columnas para ocultar/mostrar el detalle de Costo y de Precio</t>
  </si>
  <si>
    <t xml:space="preserve">N°</t>
  </si>
  <si>
    <t xml:space="preserve">Categoría</t>
  </si>
  <si>
    <t xml:space="preserve">Ítem solicitado (Bases Técnicas)</t>
  </si>
  <si>
    <t xml:space="preserve">Cant.
Ref.</t>
  </si>
  <si>
    <t xml:space="preserve">Producto RMG (Genérico)</t>
  </si>
  <si>
    <t xml:space="preserve">SKU RMG</t>
  </si>
  <si>
    <t xml:space="preserve">Detalle / Descripción original RMG</t>
  </si>
  <si>
    <t xml:space="preserve">Presentación de
Compra RMG</t>
  </si>
  <si>
    <t xml:space="preserve">Unid. por
Pack/Caja</t>
  </si>
  <si>
    <t xml:space="preserve">% Ajuste</t>
  </si>
  <si>
    <t xml:space="preserve">Observación / Brecha</t>
  </si>
  <si>
    <t xml:space="preserve">Costo Neto
Pack</t>
  </si>
  <si>
    <t xml:space="preserve">Costo Neto
Unit. RMG</t>
  </si>
  <si>
    <t xml:space="preserve">Costo c/IVA
Unit. RMG</t>
  </si>
  <si>
    <t xml:space="preserve">Total Compra
c/IVA (línea)</t>
  </si>
  <si>
    <t xml:space="preserve">Precio Neto
Pack</t>
  </si>
  <si>
    <t xml:space="preserve">Precio Neto
Unit. RMG</t>
  </si>
  <si>
    <t xml:space="preserve">Precio c/IVA
Unit. RMG</t>
  </si>
  <si>
    <t xml:space="preserve">Total Venta
c/IVA (línea)</t>
  </si>
  <si>
    <t xml:space="preserve">Aceites y Lubricantes</t>
  </si>
  <si>
    <t xml:space="preserve">Aceite sintético para motores de bencina y diésel 15W40, tambor 200 L aprox.</t>
  </si>
  <si>
    <t xml:space="preserve">5W40 sintético (línea HD)</t>
  </si>
  <si>
    <t xml:space="preserve">1000469</t>
  </si>
  <si>
    <t xml:space="preserve">CIL FORZA RAYGOLD SAE 15W40 API CK-4 DE 55 GAL</t>
  </si>
  <si>
    <t xml:space="preserve">Tambor/Cilindro 55 GAL</t>
  </si>
  <si>
    <t xml:space="preserve">85%</t>
  </si>
  <si>
    <t xml:space="preserve">Catálogo RMG: presentación en tambor de 55 GAL (formato estándar de venta para tambores). Grado y uso HD coinciden; full sintético línea Raygold CK-4.</t>
  </si>
  <si>
    <t xml:space="preserve">Aceite de mezcla premium 1:40, bidón 5 L</t>
  </si>
  <si>
    <t xml:space="preserve">Aceite 2T (mezcla)</t>
  </si>
  <si>
    <t xml:space="preserve">1000094</t>
  </si>
  <si>
    <t xml:space="preserve">CAJ06 AQUAOIL SUPER 2T TC-W3 DE 1 GAL</t>
  </si>
  <si>
    <t xml:space="preserve">Caja de 6 x 1 GAL</t>
  </si>
  <si>
    <t xml:space="preserve">55%</t>
  </si>
  <si>
    <t xml:space="preserve">RMG no tiene bidón de 5L para este producto, sólo envase de 1 galón (caja de 6). No existe tampoco un producto rotulado '1:40'; TC-W3 es apto para mezcla según fabricante del motor. Buscar alternativa en 5L con Vistony si el organismo exige el envase exacto.</t>
  </si>
  <si>
    <t xml:space="preserve">Aceite para caja 80W140 GL5, tineta 19 L aprox.</t>
  </si>
  <si>
    <t xml:space="preserve">Aceite engranajes</t>
  </si>
  <si>
    <t xml:space="preserve">1000140</t>
  </si>
  <si>
    <t xml:space="preserve">BAL GEAR OIL GL-5 SAE 85W140 DE 5 GL</t>
  </si>
  <si>
    <t xml:space="preserve">Balde 5 GAL</t>
  </si>
  <si>
    <t xml:space="preserve">75%</t>
  </si>
  <si>
    <t xml:space="preserve">Catálogo RMG: balde de 5 galones, formato estándar equivalente a tineta 19L. Maneja 85W140 (no 80W140 puro); GL-5 correcto.</t>
  </si>
  <si>
    <t xml:space="preserve">Aceite para caja 80W90 GL5, tambor 200 L aprox.</t>
  </si>
  <si>
    <t xml:space="preserve">1000143</t>
  </si>
  <si>
    <t xml:space="preserve">CIL GEAR OIL GL-5 SAE 80W90 DE 55 GL</t>
  </si>
  <si>
    <t xml:space="preserve">95%</t>
  </si>
  <si>
    <t xml:space="preserve">Catálogo RMG: tambor de 55 galones, formato estándar de tambor. Grado y norma exactos (GL-5 80W90).</t>
  </si>
  <si>
    <t xml:space="preserve">Aceite de mezcla 2 tiempos 1:50, bidón 5 L</t>
  </si>
  <si>
    <t xml:space="preserve">Mismo caso que ítem 2: RMG sólo tiene envase de 1 galón (caja de 6), no bidón de 5L; sin rótulo de ratio 1:50 en catálogo. TC-W3 genérico apto — buscar alternativa en 5L si el organismo exige el envase exacto.</t>
  </si>
  <si>
    <t xml:space="preserve">Aceite hidráulico NUTO H68, tambor 200 L aprox.</t>
  </si>
  <si>
    <t xml:space="preserve">Hidráulico ISO 68</t>
  </si>
  <si>
    <t xml:space="preserve">1000740</t>
  </si>
  <si>
    <t xml:space="preserve">CIL DRAULA H 68 DE 55 GL</t>
  </si>
  <si>
    <t xml:space="preserve">90%</t>
  </si>
  <si>
    <t xml:space="preserve">Catálogo RMG: tambor de 55 galones, formato estándar. Equivalencia funcional ISO VG68 (Nuto es nombre comercial Mobil; Draula H68 cumple misma norma ISO).</t>
  </si>
  <si>
    <t xml:space="preserve">Aceite hidráulico NUTO H46, tineta 19 L aprox.  [Partida relevante OE-B, 6%]</t>
  </si>
  <si>
    <t xml:space="preserve">Hidráulico ISO 46</t>
  </si>
  <si>
    <t xml:space="preserve">1000083</t>
  </si>
  <si>
    <t xml:space="preserve">BAL DRAULA H 46 DE 5 GAL</t>
  </si>
  <si>
    <t xml:space="preserve">Catálogo RMG: balde de 5 galones, formato estándar equivalente a tineta 19L. Equivalencia funcional ISO VG46. Partida de alta ponderación en evaluación económica.</t>
  </si>
  <si>
    <t xml:space="preserve">Aceite de cadenilla para motosierras, tambor 200 L aprox.</t>
  </si>
  <si>
    <t xml:space="preserve">Mineral monogrado SAE 30 (línea HD)</t>
  </si>
  <si>
    <t xml:space="preserve">1000853</t>
  </si>
  <si>
    <t xml:space="preserve">CIL BLINDAX HD SAE 30 DE 55 GAL</t>
  </si>
  <si>
    <t xml:space="preserve">45%</t>
  </si>
  <si>
    <t xml:space="preserve">RMG no vende un 'aceite de cadenilla/bar oil' embotellado como tal, pero el uso típico de cadenilla para motosierra es aceite mineral monogrado SAE 30 o 40 con aditivos de adherencia — RMG sí tiene ese tipo de base (Blindax HD SAE 30 mineral, tambor 55 GAL ≈ 208L, coincide con el tambor 200L pedido). Riesgo: no está certificado/formulado específicamente como 'bar and chain oil' (no se confirma aditivo tackifier/adherente de cadena) — validar con Vistony si el organismo exige una ficha técnica específica de aceite de cadenilla, o si acepta este monogrado SAE 30 genérico como equivalente funcional.</t>
  </si>
  <si>
    <t xml:space="preserve">Aceite para motor de motocicleta 10W50, envases 1 L, full sintético, API SN, JASO MA2</t>
  </si>
  <si>
    <t xml:space="preserve">10W40/15W50 semisintético-sintético (moto)</t>
  </si>
  <si>
    <t xml:space="preserve">1000367</t>
  </si>
  <si>
    <t xml:space="preserve">CAJ12 ATTOM RAYVON 4T 15W50 API SN JASO MA2 DE 1 LT</t>
  </si>
  <si>
    <t xml:space="preserve">Caja de 12 x 1 L</t>
  </si>
  <si>
    <t xml:space="preserve">65%</t>
  </si>
  <si>
    <t xml:space="preserve">Catálogo RMG: envase de 1L, coincide exactamente con lo pedido. RMG no tiene grado exacto 10W50; se ofrece 15W50 con misma norma API SN / JASO MA2.</t>
  </si>
  <si>
    <t xml:space="preserve">Aceite para transmisión mecánica 80W90 full sintético API GL-5 LS o superior, tineta 19 L</t>
  </si>
  <si>
    <t xml:space="preserve">Aceite engranajes GL-5</t>
  </si>
  <si>
    <t xml:space="preserve">1000139</t>
  </si>
  <si>
    <t xml:space="preserve">BAL GEAR OIL GL-5 SAE 80W90 DE 5 GAL</t>
  </si>
  <si>
    <t xml:space="preserve">VERIFICADO con sitio oficial Vistony y distribuidor (miningpartschile.cl): este SKU corresponde exactamente a la presentación de balde 5 GAL ≈ 19 litros que exige la base (el propio proveedor lo publicita como 'DE 19 LITROS'). Grado y norma GL-5 correctos; producto de base mineral (no full sintético) y sin certificación LS explícita — validar ficha técnica antes de ofertar.</t>
  </si>
  <si>
    <t xml:space="preserve">Aceite para transmisión mecánica 75W90 full sintético API GL-5 o superior, tineta 19 L</t>
  </si>
  <si>
    <t xml:space="preserve">Aceite engranajes sintético GL-5</t>
  </si>
  <si>
    <t xml:space="preserve">1000588</t>
  </si>
  <si>
    <t xml:space="preserve">CAJ12 GEAR OIL SYNTHETIC API GL-5 SAE J2360 75W-90 DE 1L</t>
  </si>
  <si>
    <t xml:space="preserve">VERIFICADO con catálogo Vistony (sitio oficial y distribuidores): este producto GL-5/MT-1 SAE J2360 75W90 sólo se fabrica/vende en envase de 1L — no existe balde o tineta oficial para esta referencia específica. Existe un producto similar en balde de 5 GAL (TRANSMEC SYNTHETIC 75W90), pero es API GL-4, no GL-5, por lo que NO cumple la norma exigida por la base. Gap real de presentación, no de búsqueda: se requiere cotizar con Vistony un envase mayor a medida, o evaluar si el organismo acepta múltiples cajas de 1L.</t>
  </si>
  <si>
    <t xml:space="preserve">Tinetas de grasa para maquinaria, complejo de litio servicio extendido, NLGI 0 o superior, aprobación Fives Cincinnati P-64</t>
  </si>
  <si>
    <t xml:space="preserve">Grasa complejo de litio NLGI 2</t>
  </si>
  <si>
    <t xml:space="preserve">1100284</t>
  </si>
  <si>
    <t xml:space="preserve">BAL COMPLEJO DE LITIO NLGI 2 DE 35 LIBRAS</t>
  </si>
  <si>
    <t xml:space="preserve">Balde 35 lb</t>
  </si>
  <si>
    <t xml:space="preserve">35%</t>
  </si>
  <si>
    <t xml:space="preserve">Catálogo RMG: balde de 35 libras, formato estándar de venta de grasa (por peso). RMG maneja NLGI 2 (no NLGI 0) y no cuenta con aprobación Fives Cincinnati P-64 certificada — validar con Vistony.</t>
  </si>
  <si>
    <t xml:space="preserve">Tineta 19 L aceite sintético 10W40 diésel c/DPF, low-SAPS, ACEA A3/B3-A3/B4, API SN/CF</t>
  </si>
  <si>
    <t xml:space="preserve">10W40 CK-4 (línea Auster)</t>
  </si>
  <si>
    <t xml:space="preserve">7000012</t>
  </si>
  <si>
    <t xml:space="preserve">AUSTER MAXFORCE 10W40 CK-4 20L</t>
  </si>
  <si>
    <t xml:space="preserve">Balde 20 L</t>
  </si>
  <si>
    <t xml:space="preserve">Catálogo RMG: balde de 20 litros (marca Auster, proveedor SalfaSur), presentación exacta que coincide con la tineta 19L pedida — sin necesidad de aproximar. Norma es API CK-4 para diésel HD (uso pesado), no ACEA A3/B4 (uso liviano c/DPF) — verificar compatibilidad low-SAPS real con Auster/SalfaSur antes de ofertar.</t>
  </si>
  <si>
    <t xml:space="preserve">Envases de 4 L, misma especificación que ítem 13</t>
  </si>
  <si>
    <t xml:space="preserve">10W40 semisintético</t>
  </si>
  <si>
    <t xml:space="preserve">1000806</t>
  </si>
  <si>
    <t xml:space="preserve">CAJ06 BLINDAX DUO SAE 10W40 DE 4 LT</t>
  </si>
  <si>
    <t xml:space="preserve">Caja de 6 x 4 L</t>
  </si>
  <si>
    <t xml:space="preserve">40%</t>
  </si>
  <si>
    <t xml:space="preserve">Catálogo RMG: envase de 4L, coincide exactamente con lo pedido. Blindax Duo no está certificado ACEA A3/B4 ni low-SAPS DPF — riesgo de rechazo técnico, validar ficha técnica antes de ofertar.</t>
  </si>
  <si>
    <t xml:space="preserve">Tineta 19 L aceite sintético 5W30 diésel c/DPF, mid-SAPS, ACEA C3/C2, API SP</t>
  </si>
  <si>
    <t xml:space="preserve">5W30 sintético DPF (línea Auster)</t>
  </si>
  <si>
    <t xml:space="preserve">7000003</t>
  </si>
  <si>
    <t xml:space="preserve">AUSTER MAXTECH PRO FE 5W30 ACEA C3 DPF 1L</t>
  </si>
  <si>
    <t xml:space="preserve">Unidad 1 L</t>
  </si>
  <si>
    <t xml:space="preserve">70%</t>
  </si>
  <si>
    <t xml:space="preserve">Especificación técnica exacta (ACEA C3, mid-SAPS, DPF, API SP-CF). Catálogo RMG confirma esta referencia sólo en 1L y 6L (bidón) y 200L (tambor, SKU 7000050) — a diferencia del ítem 13 (Auster Maxforce 10W40), NO se encontró evidencia pública de un balde/tineta de 19-20L para esta línea específica. No se puede descartar que exista y no esté aún en el catálogo interno: contactar directamente a SalfaSur/Auster (600 600 4004) para confirmar antes de ofertar con el tambor de 200L o botellas de 1L.</t>
  </si>
  <si>
    <t xml:space="preserve">Envases de 4 L, misma especificación que ítem 15</t>
  </si>
  <si>
    <t xml:space="preserve">5W30 sintético ACEA C3 (línea Vistony)</t>
  </si>
  <si>
    <t xml:space="preserve">1000544</t>
  </si>
  <si>
    <t xml:space="preserve">CAJ04 ATTOM S320 SAE 5W-30 ACEA C3/API SN DE 5 L</t>
  </si>
  <si>
    <t xml:space="preserve">Caja de 4 x 5 L</t>
  </si>
  <si>
    <t xml:space="preserve">Catálogo RMG: envase de 5L (RMG no maneja este producto en envase de 4L exacto). Norma ACEA C3 coincide; API SN (no SP). Buscar presentación de 4L si el organismo exige el envase exacto.</t>
  </si>
  <si>
    <t xml:space="preserve">Tineta 19 L aceite sintético 15W40 para camiones diésel FAW F-3842 o International</t>
  </si>
  <si>
    <t xml:space="preserve">5W40 sintético HD</t>
  </si>
  <si>
    <t xml:space="preserve">1000411</t>
  </si>
  <si>
    <t xml:space="preserve">BAL FORZA PLUS SAE 15W40 DE 5 GAL</t>
  </si>
  <si>
    <t xml:space="preserve">80%</t>
  </si>
  <si>
    <t xml:space="preserve">VERIFICADO con catálogo oficial Vistony (distribuidor provinsur.com confirma 'FORZA PLUS SAE 15W40, BALDE X 5 GLNS'): presentación oficial de fábrica, coincide exactamente con la tineta 19L pedida. Línea Forza Plus HD apta para camiones diésel, sin homologación específica FAW/International declarada por Vistony — validar con ficha técnica.</t>
  </si>
  <si>
    <t xml:space="preserve">Tineta 19 L aceite sintético 5W30 para vehículos a gasolina, ACEA C2/C3, API SM/SN, JASO DL-1-08</t>
  </si>
  <si>
    <t xml:space="preserve">1000530</t>
  </si>
  <si>
    <t xml:space="preserve">CAJ04 ATTOM S320 5W30 ACEA C3 API SN DE 1 GL</t>
  </si>
  <si>
    <t xml:space="preserve">Caja de 4 x 1 GAL (≈15,1 L)</t>
  </si>
  <si>
    <t xml:space="preserve">60%</t>
  </si>
  <si>
    <t xml:space="preserve">VERIFICADO con catálogo oficial Vistony: la línea ATTOM S320 (ACEA C3/API SN, la norma exigida) NO tiene balde/tineta de 19-20L — sólo 1L, 4L, 5L (bidón), caja de 4x1GAL (≈15,1L) y tambor de 55 GAL (208L). Se usa la caja de 4x1GAL (≈15,1L) como unidad de compra proxy de UNA tineta, en vez del tambor de 208L: comprar 20 cajas (~300L) se acerca mucho más al volumen real necesario (20 tinetas × 19L ≈ 380L) que comprar 20 tambores completos (20×208L=4.160L, un sobre-costo artificial). (Nota: ATTOM S310 sí tiene balde de 5 GAL/19L, pero es norma ACEA A3/B4 sin DPF — no cumple ACEA C2/C3 exigido aquí, no es sustituto válido). Confirmar con Vistony si aceptan fraccionar tambor o cotizar balde especial a pedido antes de ofertar.</t>
  </si>
  <si>
    <t xml:space="preserve">Envases de 4 L, misma especificación que ítem 18  [Partida relevante OE-A, 9%]</t>
  </si>
  <si>
    <t xml:space="preserve">5W30 sintético (línea Vistony)</t>
  </si>
  <si>
    <t xml:space="preserve">1001413</t>
  </si>
  <si>
    <t xml:space="preserve">CAJ04 ATTOM S400 SAE 5W-30 API SQ DE 4L</t>
  </si>
  <si>
    <t xml:space="preserve">Caja de 4 x 4 L</t>
  </si>
  <si>
    <t xml:space="preserve">Catálogo RMG: envase de 4L exacto (caja de 4 bidones de 4L), coincide con lo pedido. Grado 5W30 y API SQ (estándar más nuevo, superset de SM/SN); ACEA C2/C3 no confirmado explícitamente en ficha S400 — validar con Vistony. Partida de mayor ponderación en la oferta económica (9%).</t>
  </si>
  <si>
    <t xml:space="preserve">Líquidos Refrigerantes</t>
  </si>
  <si>
    <t xml:space="preserve">Bidón 4 L, líquido refrigerante mezcla Antifreeze/Coolant 50/50, verde, protección -37°C, ebullición 129°C</t>
  </si>
  <si>
    <t xml:space="preserve">Refrigerante verde OAT 50/50</t>
  </si>
  <si>
    <t xml:space="preserve">1200105</t>
  </si>
  <si>
    <t xml:space="preserve">CAJ06 COOLANT ICE FREEZE ORGANIC (OAT) 50/50 GREEN - 5 IDIOMAS DE 4L</t>
  </si>
  <si>
    <t xml:space="preserve">Catálogo RMG: envase de 4L, coincide exactamente. Producto listo para usar 50/50, color verde, tecnología OAT.</t>
  </si>
  <si>
    <t xml:space="preserve">Bidones 1 galón, misma especificación que ítem 20  [Partida relevante OE-D, 2%]</t>
  </si>
  <si>
    <t xml:space="preserve">Refrigerante verde OAT 33%</t>
  </si>
  <si>
    <t xml:space="preserve">1200079</t>
  </si>
  <si>
    <t xml:space="preserve">CAJ06 COOLANT ICE FREEZE ORGANICO (OAT) 33% GREEN DE 1 GL</t>
  </si>
  <si>
    <t xml:space="preserve">50%</t>
  </si>
  <si>
    <t xml:space="preserve">Catálogo RMG: envase de 1 galón, coincide exactamente en tamaño. RMG no tiene en 1GAL la versión 50/50 lista para usar (sólo al 33%) — validar disponibilidad de mezcla 50/50 en este formato con Vistony.</t>
  </si>
  <si>
    <t xml:space="preserve">Bidones 5 L, agua destilada automotriz</t>
  </si>
  <si>
    <t xml:space="preserve">SIN COBERTURA</t>
  </si>
  <si>
    <t xml:space="preserve">—</t>
  </si>
  <si>
    <t xml:space="preserve">No existe producto en catálogo RMG para este ítem</t>
  </si>
  <si>
    <t xml:space="preserve">0%</t>
  </si>
  <si>
    <t xml:space="preserve">RMG no comercializa agua destilada automotriz. Volumen relevante (700 un.) — evaluar alianza con proveedor externo o incorporar línea al catálogo antes de ofertar.</t>
  </si>
  <si>
    <t xml:space="preserve">S/C</t>
  </si>
  <si>
    <t xml:space="preserve">Líquidos de Freno y Aditivos</t>
  </si>
  <si>
    <t xml:space="preserve">Bidones 1 L, líquido de freno DOT3</t>
  </si>
  <si>
    <t xml:space="preserve">Líquido de frenos DOT3</t>
  </si>
  <si>
    <t xml:space="preserve">1300006</t>
  </si>
  <si>
    <t xml:space="preserve">FRA LIQUIDO PARA FRENO DOT - 3 DE 1 LT</t>
  </si>
  <si>
    <t xml:space="preserve">100%</t>
  </si>
  <si>
    <t xml:space="preserve">Coincidencia exacta de producto, norma y envase.</t>
  </si>
  <si>
    <t xml:space="preserve">Bidones 1 L, líquido de freno DOT4</t>
  </si>
  <si>
    <t xml:space="preserve">Líquido de frenos DOT4</t>
  </si>
  <si>
    <t xml:space="preserve">1300026</t>
  </si>
  <si>
    <t xml:space="preserve">CAJ12 LIQUIDO PARA FRENO DOT - 4 DE 12 ONZ</t>
  </si>
  <si>
    <t xml:space="preserve">Caja de 12 x 12 oz</t>
  </si>
  <si>
    <t xml:space="preserve">Catálogo RMG: envase de 12 onzas (≈355 mL). RMG no tiene envase de 1L exacto para DOT4 en este catálogo — buscar con Vistony si existe presentación de 1 litro antes de ofertar.</t>
  </si>
  <si>
    <t xml:space="preserve">Bidones 10 L, AdBlue para vehículos diésel</t>
  </si>
  <si>
    <t xml:space="preserve">AdBlue / Urea automotriz (AIRBLUE DEF)</t>
  </si>
  <si>
    <t xml:space="preserve">1200212</t>
  </si>
  <si>
    <t xml:space="preserve">BAL AIRBLUE DEF DE 20 L</t>
  </si>
  <si>
    <t xml:space="preserve">Catálogo RMG: balde de 20 litros (RMG no maneja envase de 10L exacto para AdBlue, sólo 20L, IBC de 1.000L o cilindro de 208L). Producto AdBlue/DEF exacto — buscar presentación de 10L con Vistony si el organismo exige el envase exacto.</t>
  </si>
  <si>
    <t xml:space="preserve">TOTALES OFERTA (líneas con cobertura RMG)</t>
  </si>
  <si>
    <t xml:space="preserve">Presupuesto referencial de las bases (IVA incluido)</t>
  </si>
  <si>
    <t xml:space="preserve">Total Venta RMG c/IVA (líneas con cobertura)</t>
  </si>
  <si>
    <t xml:space="preserve">Diferencia (Presupuesto − Total Venta RMG)</t>
  </si>
  <si>
    <t xml:space="preserve">% del presupuesto utilizado</t>
  </si>
  <si>
    <t xml:space="preserve">Margen estimado (Total Venta − Total Compra, c/IVA)</t>
  </si>
  <si>
    <t xml:space="preserve">Notas y metodología</t>
  </si>
  <si>
    <t xml:space="preserve">0) Para simplificar el análisis visual: las columnas de detalle de Costo (rojo) y de Precio (verde) están AGRUPADAS y colapsadas por defecto — use los botones [+/-] que aparecen sobre las columnas para mostrar/ocultar ese detalle de cálculo sin perderlo.</t>
  </si>
  <si>
    <t xml:space="preserve">1) Presentación de Compra RMG (columna H) es el formato en que RMG efectivamente vende cada producto, leído directo de RMG_Lista_Precios_2026.csv. Cuando ese formato no coincide exactamente con la unidad que pide la licitación (ej. bidón de 3,785L de RMG vs. bidón de 5L pedido), se deja indicado en la Observación — es un dato a resolver buscando la presentación correcta con el proveedor, NO una corrección al precio.</t>
  </si>
  <si>
    <t xml:space="preserve">2) Costo/Precio Neto Unit. RMG = Neto Pack ÷ Unidades por Pack (fórmula) — costo real de UN envase individual tal como lo vende RMG.</t>
  </si>
  <si>
    <t xml:space="preserve">3) Costo/Precio c/IVA Unit. RMG = Neto Unitario × 1,19 (fórmula, IVA 19%). Este es el valor a informar como 'PRECIO UNITARIO IVA INCLUIDO' en el Anexo N°3, por el envase que RMG efectivamente vende.</t>
  </si>
  <si>
    <t xml:space="preserve">4) Total Compra/Venta c/IVA (línea) = Precio c/IVA Unitario × Cantidad Referencial de la licitación (columna D, fórmula) — es el P×Q por línea que se totaliza para comparar contra el presupuesto.</t>
  </si>
  <si>
    <t xml:space="preserve">5) La fila de TOTALES y el bloque de comparación con presupuesto sólo consideran las 24 líneas con cobertura RMG. El ítem 22 (SIN COBERTURA) no está incluido.</t>
  </si>
  <si>
    <t xml:space="preserve">6) % de Ajuste es una estimación cualitativa de qué tan bien el producto RMG cumple la especificación técnica y de presentación de las bases. No reemplaza revisión de ficha técnica formal antes de ofertar.</t>
  </si>
  <si>
    <t xml:space="preserve">7) Ítem en rojo ('SIN COBERTURA'): Ítem 22 (agua destilada, 700 un.). El ítem 8 (aceite cadenilla motosierra) fue cubierto con un mineral monogrado SAE 30 equivalente (ver Observación) — validar con el proveedor si cumple exigencias específicas de aceite de cadena antes de ofertar. Las bases exigen ofertar el 100% de los ítems para que la oferta sea admisible.</t>
  </si>
  <si>
    <t xml:space="preserve">8) Ítems en amarillo = partidas relevantes de la oferta económica: Ítem 7 (OE-B, 6%), Ítem 19 (OE-A, 9%), Ítem 21 (OE-D, 2%). Ítem 14 (OE-C, 3%) también incluido.</t>
  </si>
  <si>
    <t xml:space="preserve">9) Fuente de precios: claude/RMG_Lista_Precios_2026.csv. Fuente de requerimientos: Bases_de_Licitación.pdf, Municipalidad de La Florida, Expediente 6239/2026.</t>
  </si>
  <si>
    <t xml:space="preserve">10) Verificación de presentaciones (ítems 10, 11, 13, 15, 17, 18): se contrastó el catálogo interno RMG contra el catálogo oficial de fábrica (vistonylubricantes.cl / vistony.pe, y sitio de SalfaSur para línea Auster) antes de concluir que una presentación tineta/balde 'no existe'. Resultado: ítems 10 y 17 quedan CONFIRMADOS como coincidencia exacta de fábrica; ítem 13 confirmado como coincidencia exacta (balde 20L). Ítems 11 y 18 quedan confirmados como brecha REAL de fábrica (no existe esa presentación en la línea exacta requerida). Ítem 15 queda como brecha NO CONCLUYENTE — se recomienda confirmar directamente con SalfaSur/Auster antes de descartar.</t>
  </si>
  <si>
    <t xml:space="preserve">11) PATRÓN DE ANÁLISIS (a aplicar en futuros cruces): cuando la tineta/balde exacta que pide la licitación NO existe en la línea de producto requerida, la unidad de compra proxy debe ser la presentación de menor formato cuyo volumen total se acerque razonablemente al de una tineta (ej. caja de 4 x 1 GAL ≈ 15 L para aproximar una tineta de 19 L) — NUNCA un tambor/cilindro grande (55 GAL ≈ 208 L) multiplicado directamente por la cantidad de tinetas pedidas, porque eso infla el volumen total comprado muy por sobre lo realmente necesario y distorsiona el total de la oferta. Ver ítem 18: se reemplazó tambor 55GAL × 20 (≈4.160 L) por caja 4x1GAL × 20 (≈300 L, mucho más cercano a los 380 L reales que se necesitan). Esto NO es un factor de ajuste de precio (que sigue prohibido) — es elegir la presentación de catálogo más adecuada como base de cálculo antes de aplicar la fórmula estándar P×Q.</t>
  </si>
</sst>
</file>

<file path=xl/styles.xml><?xml version="1.0" encoding="utf-8"?>
<styleSheet xmlns="http://schemas.openxmlformats.org/spreadsheetml/2006/main">
  <numFmts count="4">
    <numFmt numFmtId="164" formatCode="General"/>
    <numFmt numFmtId="165" formatCode="\$#,##0"/>
    <numFmt numFmtId="166" formatCode="\$#,##0;[RED]&quot;-$&quot;#,##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b val="true"/>
      <sz val="9"/>
      <color rgb="FF9C0006"/>
      <name val="Arial"/>
      <family val="0"/>
      <charset val="1"/>
    </font>
    <font>
      <b val="true"/>
      <sz val="10"/>
      <name val="Arial"/>
      <family val="0"/>
      <charset val="1"/>
    </font>
    <font>
      <i val="true"/>
      <sz val="8"/>
      <name val="Arial"/>
      <family val="0"/>
      <charset val="1"/>
    </font>
  </fonts>
  <fills count="11">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7F2020"/>
        <bgColor rgb="FF800000"/>
      </patternFill>
    </fill>
    <fill>
      <patternFill patternType="solid">
        <fgColor rgb="FF1F5C3D"/>
        <bgColor rgb="FF1F3864"/>
      </patternFill>
    </fill>
    <fill>
      <patternFill patternType="solid">
        <fgColor rgb="FFFFFFFF"/>
        <bgColor rgb="FFF2F6FC"/>
      </patternFill>
    </fill>
    <fill>
      <patternFill patternType="solid">
        <fgColor rgb="FFF2F6FC"/>
        <bgColor rgb="FFFFFFFF"/>
      </patternFill>
    </fill>
    <fill>
      <patternFill patternType="solid">
        <fgColor rgb="FFFFF2CC"/>
        <bgColor rgb="FFFCE4E4"/>
      </patternFill>
    </fill>
    <fill>
      <patternFill patternType="solid">
        <fgColor rgb="FFFCE4E4"/>
        <bgColor rgb="FFFFF2CC"/>
      </patternFill>
    </fill>
    <fill>
      <patternFill patternType="solid">
        <fgColor rgb="FFD9E1F2"/>
        <bgColor rgb="FFFCE4E4"/>
      </patternFill>
    </fill>
  </fills>
  <borders count="2">
    <border diagonalUp="false" diagonalDown="false">
      <left/>
      <right/>
      <top/>
      <bottom/>
      <diagonal/>
    </border>
    <border diagonalUp="false" diagonalDown="false">
      <left style="thin">
        <color rgb="FFB7C3D6"/>
      </left>
      <right style="thin">
        <color rgb="FFB7C3D6"/>
      </right>
      <top style="thin">
        <color rgb="FFB7C3D6"/>
      </top>
      <bottom style="thin">
        <color rgb="FFB7C3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8" fillId="6" borderId="1" xfId="0" applyFont="true" applyBorder="true" applyAlignment="true" applyProtection="false">
      <alignment horizontal="right" vertical="center" textRotation="0" wrapText="false" indent="0" shrinkToFit="false"/>
      <protection locked="true" hidden="false"/>
    </xf>
    <xf numFmtId="165" fontId="7" fillId="6" borderId="1" xfId="0" applyFont="true" applyBorder="true" applyAlignment="true" applyProtection="false">
      <alignment horizontal="right" vertical="center" textRotation="0" wrapText="false" indent="0" shrinkToFit="false"/>
      <protection locked="true" hidden="false"/>
    </xf>
    <xf numFmtId="165" fontId="9" fillId="6" borderId="1" xfId="0" applyFont="true" applyBorder="true" applyAlignment="true" applyProtection="false">
      <alignment horizontal="righ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5" fontId="8" fillId="7" borderId="1" xfId="0" applyFont="true" applyBorder="true" applyAlignment="true" applyProtection="false">
      <alignment horizontal="right" vertical="center" textRotation="0" wrapText="false" indent="0" shrinkToFit="false"/>
      <protection locked="true" hidden="false"/>
    </xf>
    <xf numFmtId="165" fontId="7" fillId="7" borderId="1" xfId="0" applyFont="true" applyBorder="true" applyAlignment="true" applyProtection="false">
      <alignment horizontal="right" vertical="center" textRotation="0" wrapText="false" indent="0" shrinkToFit="false"/>
      <protection locked="true" hidden="false"/>
    </xf>
    <xf numFmtId="165" fontId="9" fillId="7" borderId="1" xfId="0" applyFont="true" applyBorder="true" applyAlignment="true" applyProtection="false">
      <alignment horizontal="right"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5" fontId="8" fillId="8" borderId="1" xfId="0" applyFont="true" applyBorder="true" applyAlignment="true" applyProtection="false">
      <alignment horizontal="right" vertical="center" textRotation="0" wrapText="false" indent="0" shrinkToFit="false"/>
      <protection locked="true" hidden="false"/>
    </xf>
    <xf numFmtId="165" fontId="7" fillId="8" borderId="1" xfId="0" applyFont="true" applyBorder="true" applyAlignment="true" applyProtection="false">
      <alignment horizontal="right" vertical="center" textRotation="0" wrapText="false" indent="0" shrinkToFit="false"/>
      <protection locked="true" hidden="false"/>
    </xf>
    <xf numFmtId="165" fontId="9" fillId="8" borderId="1" xfId="0" applyFont="true" applyBorder="true" applyAlignment="true" applyProtection="false">
      <alignment horizontal="right"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right" vertical="center" textRotation="0" wrapText="false" indent="1"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7" fontId="9" fillId="0" borderId="0" xfId="0" applyFont="true" applyBorder="false" applyAlignment="true" applyProtection="false">
      <alignment horizontal="right" vertical="bottom" textRotation="0" wrapText="false" indent="0" shrinkToFit="false"/>
      <protection locked="true" hidden="false"/>
    </xf>
    <xf numFmtId="164" fontId="11" fillId="1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C3D6"/>
      <rgbColor rgb="FF808080"/>
      <rgbColor rgb="FF9999FF"/>
      <rgbColor rgb="FF993366"/>
      <rgbColor rgb="FFFFF2CC"/>
      <rgbColor rgb="FFF2F6FC"/>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7F2020"/>
      <rgbColor rgb="FF993366"/>
      <rgbColor rgb="FF2E5395"/>
      <rgbColor rgb="FF1F5C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0" width="4"/>
    <col collapsed="false" customWidth="true" hidden="false" outlineLevel="0" max="2" min="2" style="0" width="15"/>
    <col collapsed="false" customWidth="true" hidden="false" outlineLevel="0" max="3" min="3" style="0" width="34"/>
    <col collapsed="false" customWidth="true" hidden="false" outlineLevel="0" max="4" min="4" style="0" width="6"/>
    <col collapsed="false" customWidth="true" hidden="false" outlineLevel="0" max="5" min="5" style="0" width="22"/>
    <col collapsed="false" customWidth="true" hidden="false" outlineLevel="0" max="6" min="6" style="0" width="10"/>
    <col collapsed="false" customWidth="true" hidden="false" outlineLevel="0" max="7" min="7" style="0" width="38"/>
    <col collapsed="false" customWidth="true" hidden="false" outlineLevel="0" max="8" min="8" style="0" width="18"/>
    <col collapsed="false" customWidth="true" hidden="false" outlineLevel="0" max="10" min="9" style="0" width="8"/>
    <col collapsed="false" customWidth="true" hidden="false" outlineLevel="0" max="11" min="11" style="0" width="36"/>
    <col collapsed="false" customWidth="true" hidden="true" outlineLevel="1" max="14" min="12" style="0" width="11"/>
    <col collapsed="false" customWidth="true" hidden="false" outlineLevel="0" max="15" min="15" style="0" width="12"/>
    <col collapsed="false" customWidth="true" hidden="true" outlineLevel="1" max="18" min="16" style="0" width="11"/>
    <col collapsed="false" customWidth="true" hidden="false" outlineLevel="0" max="19" min="19" style="0" width="12"/>
  </cols>
  <sheetData>
    <row r="1" customFormat="false" ht="24" hidden="false" customHeight="true" outlineLevel="0" collapsed="false">
      <c r="A1" s="1" t="s">
        <v>0</v>
      </c>
      <c r="B1" s="1"/>
      <c r="C1" s="1"/>
      <c r="D1" s="1"/>
      <c r="E1" s="1"/>
      <c r="F1" s="1"/>
      <c r="G1" s="1"/>
      <c r="H1" s="1"/>
      <c r="I1" s="1"/>
      <c r="J1" s="1"/>
      <c r="K1" s="1"/>
      <c r="L1" s="1"/>
      <c r="M1" s="1"/>
      <c r="N1" s="1"/>
      <c r="O1" s="1"/>
      <c r="P1" s="1"/>
      <c r="Q1" s="1"/>
      <c r="R1" s="1"/>
      <c r="S1" s="1"/>
    </row>
    <row r="2" customFormat="false" ht="15.75" hidden="false" customHeight="true" outlineLevel="0" collapsed="false">
      <c r="A2" s="2" t="s">
        <v>1</v>
      </c>
      <c r="B2" s="2"/>
      <c r="C2" s="2"/>
      <c r="D2" s="2"/>
      <c r="E2" s="2"/>
      <c r="F2" s="2"/>
      <c r="G2" s="2"/>
      <c r="H2" s="2"/>
      <c r="I2" s="2"/>
      <c r="J2" s="2"/>
      <c r="K2" s="2"/>
      <c r="L2" s="2"/>
      <c r="M2" s="2"/>
      <c r="N2" s="2"/>
      <c r="O2" s="2"/>
      <c r="P2" s="2"/>
      <c r="Q2" s="2"/>
      <c r="R2" s="2"/>
      <c r="S2" s="2"/>
    </row>
    <row r="3" customFormat="false" ht="6" hidden="false" customHeight="true" outlineLevel="0" collapsed="false"/>
    <row r="4" customFormat="false" ht="39.75" hidden="false" customHeight="true" outlineLevel="0" collapsed="false">
      <c r="A4" s="3" t="s">
        <v>2</v>
      </c>
      <c r="B4" s="3" t="s">
        <v>3</v>
      </c>
      <c r="C4" s="3" t="s">
        <v>4</v>
      </c>
      <c r="D4" s="3" t="s">
        <v>5</v>
      </c>
      <c r="E4" s="3" t="s">
        <v>6</v>
      </c>
      <c r="F4" s="3" t="s">
        <v>7</v>
      </c>
      <c r="G4" s="3" t="s">
        <v>8</v>
      </c>
      <c r="H4" s="3" t="s">
        <v>9</v>
      </c>
      <c r="I4" s="3" t="s">
        <v>10</v>
      </c>
      <c r="J4" s="3" t="s">
        <v>11</v>
      </c>
      <c r="K4" s="3" t="s">
        <v>12</v>
      </c>
      <c r="L4" s="4" t="s">
        <v>13</v>
      </c>
      <c r="M4" s="4" t="s">
        <v>14</v>
      </c>
      <c r="N4" s="4" t="s">
        <v>15</v>
      </c>
      <c r="O4" s="4" t="s">
        <v>16</v>
      </c>
      <c r="P4" s="5" t="s">
        <v>17</v>
      </c>
      <c r="Q4" s="5" t="s">
        <v>18</v>
      </c>
      <c r="R4" s="5" t="s">
        <v>19</v>
      </c>
      <c r="S4" s="5" t="s">
        <v>20</v>
      </c>
    </row>
    <row r="5" customFormat="false" ht="55.5" hidden="false" customHeight="true" outlineLevel="0" collapsed="false">
      <c r="A5" s="6" t="n">
        <v>1</v>
      </c>
      <c r="B5" s="7" t="s">
        <v>21</v>
      </c>
      <c r="C5" s="7" t="s">
        <v>22</v>
      </c>
      <c r="D5" s="6" t="n">
        <v>2</v>
      </c>
      <c r="E5" s="7" t="s">
        <v>23</v>
      </c>
      <c r="F5" s="7" t="s">
        <v>24</v>
      </c>
      <c r="G5" s="7" t="s">
        <v>25</v>
      </c>
      <c r="H5" s="7" t="s">
        <v>26</v>
      </c>
      <c r="I5" s="8" t="n">
        <v>1</v>
      </c>
      <c r="J5" s="6" t="s">
        <v>27</v>
      </c>
      <c r="K5" s="7" t="s">
        <v>28</v>
      </c>
      <c r="L5" s="9" t="n">
        <v>555226</v>
      </c>
      <c r="M5" s="10" t="n">
        <f aca="false">L5/I5</f>
        <v>555226</v>
      </c>
      <c r="N5" s="10" t="n">
        <f aca="false">M5*1.19</f>
        <v>660718.94</v>
      </c>
      <c r="O5" s="11" t="n">
        <f aca="false">N5*D5</f>
        <v>1321437.88</v>
      </c>
      <c r="P5" s="9" t="n">
        <v>721793.8</v>
      </c>
      <c r="Q5" s="10" t="n">
        <f aca="false">P5/I5</f>
        <v>721793.8</v>
      </c>
      <c r="R5" s="10" t="n">
        <f aca="false">Q5*1.19</f>
        <v>858934.622</v>
      </c>
      <c r="S5" s="11" t="n">
        <f aca="false">R5*D5</f>
        <v>1717869.244</v>
      </c>
    </row>
    <row r="6" customFormat="false" ht="55.5" hidden="false" customHeight="true" outlineLevel="0" collapsed="false">
      <c r="A6" s="12" t="n">
        <v>2</v>
      </c>
      <c r="B6" s="13" t="s">
        <v>21</v>
      </c>
      <c r="C6" s="13" t="s">
        <v>29</v>
      </c>
      <c r="D6" s="12" t="n">
        <v>30</v>
      </c>
      <c r="E6" s="13" t="s">
        <v>30</v>
      </c>
      <c r="F6" s="13" t="s">
        <v>31</v>
      </c>
      <c r="G6" s="13" t="s">
        <v>32</v>
      </c>
      <c r="H6" s="13" t="s">
        <v>33</v>
      </c>
      <c r="I6" s="14" t="n">
        <v>6</v>
      </c>
      <c r="J6" s="12" t="s">
        <v>34</v>
      </c>
      <c r="K6" s="13" t="s">
        <v>35</v>
      </c>
      <c r="L6" s="15" t="n">
        <v>44902</v>
      </c>
      <c r="M6" s="16" t="n">
        <f aca="false">L6/I6</f>
        <v>7483.66666666667</v>
      </c>
      <c r="N6" s="16" t="n">
        <f aca="false">M6*1.19</f>
        <v>8905.56333333333</v>
      </c>
      <c r="O6" s="17" t="n">
        <f aca="false">N6*D6</f>
        <v>267166.9</v>
      </c>
      <c r="P6" s="15" t="n">
        <v>58372.6</v>
      </c>
      <c r="Q6" s="16" t="n">
        <f aca="false">P6/I6</f>
        <v>9728.76666666667</v>
      </c>
      <c r="R6" s="16" t="n">
        <f aca="false">Q6*1.19</f>
        <v>11577.2323333333</v>
      </c>
      <c r="S6" s="17" t="n">
        <f aca="false">R6*D6</f>
        <v>347316.97</v>
      </c>
    </row>
    <row r="7" customFormat="false" ht="55.5" hidden="false" customHeight="true" outlineLevel="0" collapsed="false">
      <c r="A7" s="6" t="n">
        <v>3</v>
      </c>
      <c r="B7" s="7" t="s">
        <v>21</v>
      </c>
      <c r="C7" s="7" t="s">
        <v>36</v>
      </c>
      <c r="D7" s="6" t="n">
        <v>4</v>
      </c>
      <c r="E7" s="7" t="s">
        <v>37</v>
      </c>
      <c r="F7" s="7" t="s">
        <v>38</v>
      </c>
      <c r="G7" s="7" t="s">
        <v>39</v>
      </c>
      <c r="H7" s="7" t="s">
        <v>40</v>
      </c>
      <c r="I7" s="8" t="n">
        <v>1</v>
      </c>
      <c r="J7" s="6" t="s">
        <v>41</v>
      </c>
      <c r="K7" s="7" t="s">
        <v>42</v>
      </c>
      <c r="L7" s="9" t="n">
        <v>61970</v>
      </c>
      <c r="M7" s="10" t="n">
        <f aca="false">L7/I7</f>
        <v>61970</v>
      </c>
      <c r="N7" s="10" t="n">
        <f aca="false">M7*1.19</f>
        <v>73744.3</v>
      </c>
      <c r="O7" s="11" t="n">
        <f aca="false">N7*D7</f>
        <v>294977.2</v>
      </c>
      <c r="P7" s="9" t="n">
        <v>80561</v>
      </c>
      <c r="Q7" s="10" t="n">
        <f aca="false">P7/I7</f>
        <v>80561</v>
      </c>
      <c r="R7" s="10" t="n">
        <f aca="false">Q7*1.19</f>
        <v>95867.59</v>
      </c>
      <c r="S7" s="11" t="n">
        <f aca="false">R7*D7</f>
        <v>383470.36</v>
      </c>
    </row>
    <row r="8" customFormat="false" ht="55.5" hidden="false" customHeight="true" outlineLevel="0" collapsed="false">
      <c r="A8" s="12" t="n">
        <v>4</v>
      </c>
      <c r="B8" s="13" t="s">
        <v>21</v>
      </c>
      <c r="C8" s="13" t="s">
        <v>43</v>
      </c>
      <c r="D8" s="12" t="n">
        <v>1</v>
      </c>
      <c r="E8" s="13" t="s">
        <v>37</v>
      </c>
      <c r="F8" s="13" t="s">
        <v>44</v>
      </c>
      <c r="G8" s="13" t="s">
        <v>45</v>
      </c>
      <c r="H8" s="13" t="s">
        <v>26</v>
      </c>
      <c r="I8" s="14" t="n">
        <v>1</v>
      </c>
      <c r="J8" s="12" t="s">
        <v>46</v>
      </c>
      <c r="K8" s="13" t="s">
        <v>47</v>
      </c>
      <c r="L8" s="15" t="n">
        <v>557444</v>
      </c>
      <c r="M8" s="16" t="n">
        <f aca="false">L8/I8</f>
        <v>557444</v>
      </c>
      <c r="N8" s="16" t="n">
        <f aca="false">M8*1.19</f>
        <v>663358.36</v>
      </c>
      <c r="O8" s="17" t="n">
        <f aca="false">N8*D8</f>
        <v>663358.36</v>
      </c>
      <c r="P8" s="15" t="n">
        <v>724677.2</v>
      </c>
      <c r="Q8" s="16" t="n">
        <f aca="false">P8/I8</f>
        <v>724677.2</v>
      </c>
      <c r="R8" s="16" t="n">
        <f aca="false">Q8*1.19</f>
        <v>862365.868</v>
      </c>
      <c r="S8" s="17" t="n">
        <f aca="false">R8*D8</f>
        <v>862365.868</v>
      </c>
    </row>
    <row r="9" customFormat="false" ht="55.5" hidden="false" customHeight="true" outlineLevel="0" collapsed="false">
      <c r="A9" s="6" t="n">
        <v>5</v>
      </c>
      <c r="B9" s="7" t="s">
        <v>21</v>
      </c>
      <c r="C9" s="7" t="s">
        <v>48</v>
      </c>
      <c r="D9" s="6" t="n">
        <v>20</v>
      </c>
      <c r="E9" s="7" t="s">
        <v>30</v>
      </c>
      <c r="F9" s="7" t="s">
        <v>31</v>
      </c>
      <c r="G9" s="7" t="s">
        <v>32</v>
      </c>
      <c r="H9" s="7" t="s">
        <v>33</v>
      </c>
      <c r="I9" s="8" t="n">
        <v>6</v>
      </c>
      <c r="J9" s="6" t="s">
        <v>34</v>
      </c>
      <c r="K9" s="7" t="s">
        <v>49</v>
      </c>
      <c r="L9" s="9" t="n">
        <v>44902</v>
      </c>
      <c r="M9" s="10" t="n">
        <f aca="false">L9/I9</f>
        <v>7483.66666666667</v>
      </c>
      <c r="N9" s="10" t="n">
        <f aca="false">M9*1.19</f>
        <v>8905.56333333333</v>
      </c>
      <c r="O9" s="11" t="n">
        <f aca="false">N9*D9</f>
        <v>178111.266666667</v>
      </c>
      <c r="P9" s="9" t="n">
        <v>58372.6</v>
      </c>
      <c r="Q9" s="10" t="n">
        <f aca="false">P9/I9</f>
        <v>9728.76666666667</v>
      </c>
      <c r="R9" s="10" t="n">
        <f aca="false">Q9*1.19</f>
        <v>11577.2323333333</v>
      </c>
      <c r="S9" s="11" t="n">
        <f aca="false">R9*D9</f>
        <v>231544.646666667</v>
      </c>
    </row>
    <row r="10" customFormat="false" ht="55.5" hidden="false" customHeight="true" outlineLevel="0" collapsed="false">
      <c r="A10" s="12" t="n">
        <v>6</v>
      </c>
      <c r="B10" s="13" t="s">
        <v>21</v>
      </c>
      <c r="C10" s="13" t="s">
        <v>50</v>
      </c>
      <c r="D10" s="12" t="n">
        <v>2</v>
      </c>
      <c r="E10" s="13" t="s">
        <v>51</v>
      </c>
      <c r="F10" s="13" t="s">
        <v>52</v>
      </c>
      <c r="G10" s="13" t="s">
        <v>53</v>
      </c>
      <c r="H10" s="13" t="s">
        <v>26</v>
      </c>
      <c r="I10" s="14" t="n">
        <v>1</v>
      </c>
      <c r="J10" s="12" t="s">
        <v>54</v>
      </c>
      <c r="K10" s="13" t="s">
        <v>55</v>
      </c>
      <c r="L10" s="15" t="n">
        <v>406510</v>
      </c>
      <c r="M10" s="16" t="n">
        <f aca="false">L10/I10</f>
        <v>406510</v>
      </c>
      <c r="N10" s="16" t="n">
        <f aca="false">M10*1.19</f>
        <v>483746.9</v>
      </c>
      <c r="O10" s="17" t="n">
        <f aca="false">N10*D10</f>
        <v>967493.8</v>
      </c>
      <c r="P10" s="15" t="n">
        <v>528463</v>
      </c>
      <c r="Q10" s="16" t="n">
        <f aca="false">P10/I10</f>
        <v>528463</v>
      </c>
      <c r="R10" s="16" t="n">
        <f aca="false">Q10*1.19</f>
        <v>628870.97</v>
      </c>
      <c r="S10" s="17" t="n">
        <f aca="false">R10*D10</f>
        <v>1257741.94</v>
      </c>
    </row>
    <row r="11" customFormat="false" ht="55.5" hidden="false" customHeight="true" outlineLevel="0" collapsed="false">
      <c r="A11" s="18" t="n">
        <v>7</v>
      </c>
      <c r="B11" s="19" t="s">
        <v>21</v>
      </c>
      <c r="C11" s="19" t="s">
        <v>56</v>
      </c>
      <c r="D11" s="18" t="n">
        <v>15</v>
      </c>
      <c r="E11" s="19" t="s">
        <v>57</v>
      </c>
      <c r="F11" s="19" t="s">
        <v>58</v>
      </c>
      <c r="G11" s="19" t="s">
        <v>59</v>
      </c>
      <c r="H11" s="19" t="s">
        <v>40</v>
      </c>
      <c r="I11" s="20" t="n">
        <v>1</v>
      </c>
      <c r="J11" s="18" t="s">
        <v>54</v>
      </c>
      <c r="K11" s="19" t="s">
        <v>60</v>
      </c>
      <c r="L11" s="21" t="n">
        <v>36069</v>
      </c>
      <c r="M11" s="22" t="n">
        <f aca="false">L11/I11</f>
        <v>36069</v>
      </c>
      <c r="N11" s="22" t="n">
        <f aca="false">M11*1.19</f>
        <v>42922.11</v>
      </c>
      <c r="O11" s="23" t="n">
        <f aca="false">N11*D11</f>
        <v>643831.65</v>
      </c>
      <c r="P11" s="21" t="n">
        <v>46889.7</v>
      </c>
      <c r="Q11" s="22" t="n">
        <f aca="false">P11/I11</f>
        <v>46889.7</v>
      </c>
      <c r="R11" s="22" t="n">
        <f aca="false">Q11*1.19</f>
        <v>55798.743</v>
      </c>
      <c r="S11" s="23" t="n">
        <f aca="false">R11*D11</f>
        <v>836981.145</v>
      </c>
    </row>
    <row r="12" customFormat="false" ht="55.5" hidden="false" customHeight="true" outlineLevel="0" collapsed="false">
      <c r="A12" s="12" t="n">
        <v>8</v>
      </c>
      <c r="B12" s="13" t="s">
        <v>21</v>
      </c>
      <c r="C12" s="13" t="s">
        <v>61</v>
      </c>
      <c r="D12" s="12" t="n">
        <v>3</v>
      </c>
      <c r="E12" s="13" t="s">
        <v>62</v>
      </c>
      <c r="F12" s="13" t="s">
        <v>63</v>
      </c>
      <c r="G12" s="13" t="s">
        <v>64</v>
      </c>
      <c r="H12" s="13" t="s">
        <v>26</v>
      </c>
      <c r="I12" s="14" t="n">
        <v>1</v>
      </c>
      <c r="J12" s="12" t="s">
        <v>65</v>
      </c>
      <c r="K12" s="13" t="s">
        <v>66</v>
      </c>
      <c r="L12" s="15" t="n">
        <v>430746</v>
      </c>
      <c r="M12" s="16" t="n">
        <f aca="false">L12/I12</f>
        <v>430746</v>
      </c>
      <c r="N12" s="16" t="n">
        <f aca="false">M12*1.19</f>
        <v>512587.74</v>
      </c>
      <c r="O12" s="17" t="n">
        <f aca="false">N12*D12</f>
        <v>1537763.22</v>
      </c>
      <c r="P12" s="15" t="n">
        <v>559969.8</v>
      </c>
      <c r="Q12" s="16" t="n">
        <f aca="false">P12/I12</f>
        <v>559969.8</v>
      </c>
      <c r="R12" s="16" t="n">
        <f aca="false">Q12*1.19</f>
        <v>666364.062</v>
      </c>
      <c r="S12" s="17" t="n">
        <f aca="false">R12*D12</f>
        <v>1999092.186</v>
      </c>
    </row>
    <row r="13" customFormat="false" ht="55.5" hidden="false" customHeight="true" outlineLevel="0" collapsed="false">
      <c r="A13" s="6" t="n">
        <v>9</v>
      </c>
      <c r="B13" s="7" t="s">
        <v>21</v>
      </c>
      <c r="C13" s="7" t="s">
        <v>67</v>
      </c>
      <c r="D13" s="6" t="n">
        <v>24</v>
      </c>
      <c r="E13" s="7" t="s">
        <v>68</v>
      </c>
      <c r="F13" s="7" t="s">
        <v>69</v>
      </c>
      <c r="G13" s="7" t="s">
        <v>70</v>
      </c>
      <c r="H13" s="7" t="s">
        <v>71</v>
      </c>
      <c r="I13" s="8" t="n">
        <v>12</v>
      </c>
      <c r="J13" s="6" t="s">
        <v>72</v>
      </c>
      <c r="K13" s="7" t="s">
        <v>73</v>
      </c>
      <c r="L13" s="9" t="n">
        <v>48610</v>
      </c>
      <c r="M13" s="10" t="n">
        <f aca="false">L13/I13</f>
        <v>4050.83333333333</v>
      </c>
      <c r="N13" s="10" t="n">
        <f aca="false">M13*1.19</f>
        <v>4820.49166666667</v>
      </c>
      <c r="O13" s="11" t="n">
        <f aca="false">N13*D13</f>
        <v>115691.8</v>
      </c>
      <c r="P13" s="9" t="n">
        <v>63193</v>
      </c>
      <c r="Q13" s="10" t="n">
        <f aca="false">P13/I13</f>
        <v>5266.08333333333</v>
      </c>
      <c r="R13" s="10" t="n">
        <f aca="false">Q13*1.19</f>
        <v>6266.63916666667</v>
      </c>
      <c r="S13" s="11" t="n">
        <f aca="false">R13*D13</f>
        <v>150399.34</v>
      </c>
    </row>
    <row r="14" customFormat="false" ht="55.5" hidden="false" customHeight="true" outlineLevel="0" collapsed="false">
      <c r="A14" s="12" t="n">
        <v>10</v>
      </c>
      <c r="B14" s="13" t="s">
        <v>21</v>
      </c>
      <c r="C14" s="13" t="s">
        <v>74</v>
      </c>
      <c r="D14" s="12" t="n">
        <v>12</v>
      </c>
      <c r="E14" s="13" t="s">
        <v>75</v>
      </c>
      <c r="F14" s="13" t="s">
        <v>76</v>
      </c>
      <c r="G14" s="13" t="s">
        <v>77</v>
      </c>
      <c r="H14" s="13" t="s">
        <v>40</v>
      </c>
      <c r="I14" s="14" t="n">
        <v>1</v>
      </c>
      <c r="J14" s="12" t="s">
        <v>41</v>
      </c>
      <c r="K14" s="13" t="s">
        <v>78</v>
      </c>
      <c r="L14" s="15" t="n">
        <v>55432</v>
      </c>
      <c r="M14" s="16" t="n">
        <f aca="false">L14/I14</f>
        <v>55432</v>
      </c>
      <c r="N14" s="16" t="n">
        <f aca="false">M14*1.19</f>
        <v>65964.08</v>
      </c>
      <c r="O14" s="17" t="n">
        <f aca="false">N14*D14</f>
        <v>791568.96</v>
      </c>
      <c r="P14" s="15" t="n">
        <v>72061.6</v>
      </c>
      <c r="Q14" s="16" t="n">
        <f aca="false">P14/I14</f>
        <v>72061.6</v>
      </c>
      <c r="R14" s="16" t="n">
        <f aca="false">Q14*1.19</f>
        <v>85753.304</v>
      </c>
      <c r="S14" s="17" t="n">
        <f aca="false">R14*D14</f>
        <v>1029039.648</v>
      </c>
    </row>
    <row r="15" customFormat="false" ht="55.5" hidden="false" customHeight="true" outlineLevel="0" collapsed="false">
      <c r="A15" s="6" t="n">
        <v>11</v>
      </c>
      <c r="B15" s="7" t="s">
        <v>21</v>
      </c>
      <c r="C15" s="7" t="s">
        <v>79</v>
      </c>
      <c r="D15" s="6" t="n">
        <v>12</v>
      </c>
      <c r="E15" s="7" t="s">
        <v>80</v>
      </c>
      <c r="F15" s="7" t="s">
        <v>81</v>
      </c>
      <c r="G15" s="7" t="s">
        <v>82</v>
      </c>
      <c r="H15" s="7" t="s">
        <v>71</v>
      </c>
      <c r="I15" s="8" t="n">
        <v>12</v>
      </c>
      <c r="J15" s="6" t="s">
        <v>34</v>
      </c>
      <c r="K15" s="7" t="s">
        <v>83</v>
      </c>
      <c r="L15" s="9" t="n">
        <v>53336</v>
      </c>
      <c r="M15" s="10" t="n">
        <f aca="false">L15/I15</f>
        <v>4444.66666666667</v>
      </c>
      <c r="N15" s="10" t="n">
        <f aca="false">M15*1.19</f>
        <v>5289.15333333333</v>
      </c>
      <c r="O15" s="11" t="n">
        <f aca="false">N15*D15</f>
        <v>63469.84</v>
      </c>
      <c r="P15" s="9" t="n">
        <v>69336.8</v>
      </c>
      <c r="Q15" s="10" t="n">
        <f aca="false">P15/I15</f>
        <v>5778.06666666667</v>
      </c>
      <c r="R15" s="10" t="n">
        <f aca="false">Q15*1.19</f>
        <v>6875.89933333333</v>
      </c>
      <c r="S15" s="11" t="n">
        <f aca="false">R15*D15</f>
        <v>82510.792</v>
      </c>
    </row>
    <row r="16" customFormat="false" ht="55.5" hidden="false" customHeight="true" outlineLevel="0" collapsed="false">
      <c r="A16" s="12" t="n">
        <v>12</v>
      </c>
      <c r="B16" s="13" t="s">
        <v>21</v>
      </c>
      <c r="C16" s="13" t="s">
        <v>84</v>
      </c>
      <c r="D16" s="12" t="n">
        <v>8</v>
      </c>
      <c r="E16" s="13" t="s">
        <v>85</v>
      </c>
      <c r="F16" s="13" t="s">
        <v>86</v>
      </c>
      <c r="G16" s="13" t="s">
        <v>87</v>
      </c>
      <c r="H16" s="13" t="s">
        <v>88</v>
      </c>
      <c r="I16" s="14" t="n">
        <v>1</v>
      </c>
      <c r="J16" s="12" t="s">
        <v>89</v>
      </c>
      <c r="K16" s="13" t="s">
        <v>90</v>
      </c>
      <c r="L16" s="15" t="n">
        <v>59926</v>
      </c>
      <c r="M16" s="16" t="n">
        <f aca="false">L16/I16</f>
        <v>59926</v>
      </c>
      <c r="N16" s="16" t="n">
        <f aca="false">M16*1.19</f>
        <v>71311.94</v>
      </c>
      <c r="O16" s="17" t="n">
        <f aca="false">N16*D16</f>
        <v>570495.52</v>
      </c>
      <c r="P16" s="15" t="n">
        <v>77903.8</v>
      </c>
      <c r="Q16" s="16" t="n">
        <f aca="false">P16/I16</f>
        <v>77903.8</v>
      </c>
      <c r="R16" s="16" t="n">
        <f aca="false">Q16*1.19</f>
        <v>92705.522</v>
      </c>
      <c r="S16" s="17" t="n">
        <f aca="false">R16*D16</f>
        <v>741644.176</v>
      </c>
    </row>
    <row r="17" customFormat="false" ht="55.5" hidden="false" customHeight="true" outlineLevel="0" collapsed="false">
      <c r="A17" s="6" t="n">
        <v>13</v>
      </c>
      <c r="B17" s="7" t="s">
        <v>21</v>
      </c>
      <c r="C17" s="7" t="s">
        <v>91</v>
      </c>
      <c r="D17" s="6" t="n">
        <v>20</v>
      </c>
      <c r="E17" s="7" t="s">
        <v>92</v>
      </c>
      <c r="F17" s="7" t="s">
        <v>93</v>
      </c>
      <c r="G17" s="7" t="s">
        <v>94</v>
      </c>
      <c r="H17" s="7" t="s">
        <v>95</v>
      </c>
      <c r="I17" s="8" t="n">
        <v>1</v>
      </c>
      <c r="J17" s="6" t="s">
        <v>34</v>
      </c>
      <c r="K17" s="7" t="s">
        <v>96</v>
      </c>
      <c r="L17" s="9" t="n">
        <v>3655</v>
      </c>
      <c r="M17" s="10" t="n">
        <f aca="false">L17/I17</f>
        <v>3655</v>
      </c>
      <c r="N17" s="10" t="n">
        <f aca="false">M17*1.19</f>
        <v>4349.45</v>
      </c>
      <c r="O17" s="11" t="n">
        <f aca="false">N17*D17</f>
        <v>86989</v>
      </c>
      <c r="P17" s="9" t="n">
        <v>4751.5</v>
      </c>
      <c r="Q17" s="10" t="n">
        <f aca="false">P17/I17</f>
        <v>4751.5</v>
      </c>
      <c r="R17" s="10" t="n">
        <f aca="false">Q17*1.19</f>
        <v>5654.285</v>
      </c>
      <c r="S17" s="11" t="n">
        <f aca="false">R17*D17</f>
        <v>113085.7</v>
      </c>
    </row>
    <row r="18" customFormat="false" ht="55.5" hidden="false" customHeight="true" outlineLevel="0" collapsed="false">
      <c r="A18" s="12" t="n">
        <v>14</v>
      </c>
      <c r="B18" s="13" t="s">
        <v>21</v>
      </c>
      <c r="C18" s="13" t="s">
        <v>97</v>
      </c>
      <c r="D18" s="12" t="n">
        <v>95</v>
      </c>
      <c r="E18" s="13" t="s">
        <v>98</v>
      </c>
      <c r="F18" s="13" t="s">
        <v>99</v>
      </c>
      <c r="G18" s="13" t="s">
        <v>100</v>
      </c>
      <c r="H18" s="13" t="s">
        <v>101</v>
      </c>
      <c r="I18" s="14" t="n">
        <v>6</v>
      </c>
      <c r="J18" s="12" t="s">
        <v>102</v>
      </c>
      <c r="K18" s="13" t="s">
        <v>103</v>
      </c>
      <c r="L18" s="15" t="n">
        <v>58234</v>
      </c>
      <c r="M18" s="16" t="n">
        <f aca="false">L18/I18</f>
        <v>9705.66666666667</v>
      </c>
      <c r="N18" s="16" t="n">
        <f aca="false">M18*1.19</f>
        <v>11549.7433333333</v>
      </c>
      <c r="O18" s="17" t="n">
        <f aca="false">N18*D18</f>
        <v>1097225.61666667</v>
      </c>
      <c r="P18" s="15" t="n">
        <v>75704.2</v>
      </c>
      <c r="Q18" s="16" t="n">
        <f aca="false">P18/I18</f>
        <v>12617.3666666667</v>
      </c>
      <c r="R18" s="16" t="n">
        <f aca="false">Q18*1.19</f>
        <v>15014.6663333333</v>
      </c>
      <c r="S18" s="17" t="n">
        <f aca="false">R18*D18</f>
        <v>1426393.30166667</v>
      </c>
    </row>
    <row r="19" customFormat="false" ht="55.5" hidden="false" customHeight="true" outlineLevel="0" collapsed="false">
      <c r="A19" s="6" t="n">
        <v>15</v>
      </c>
      <c r="B19" s="7" t="s">
        <v>21</v>
      </c>
      <c r="C19" s="7" t="s">
        <v>104</v>
      </c>
      <c r="D19" s="6" t="n">
        <v>12</v>
      </c>
      <c r="E19" s="7" t="s">
        <v>105</v>
      </c>
      <c r="F19" s="7" t="s">
        <v>106</v>
      </c>
      <c r="G19" s="7" t="s">
        <v>107</v>
      </c>
      <c r="H19" s="7" t="s">
        <v>108</v>
      </c>
      <c r="I19" s="8" t="n">
        <v>1</v>
      </c>
      <c r="J19" s="6" t="s">
        <v>109</v>
      </c>
      <c r="K19" s="7" t="s">
        <v>110</v>
      </c>
      <c r="L19" s="9" t="n">
        <v>3143</v>
      </c>
      <c r="M19" s="10" t="n">
        <f aca="false">L19/I19</f>
        <v>3143</v>
      </c>
      <c r="N19" s="10" t="n">
        <f aca="false">M19*1.19</f>
        <v>3740.17</v>
      </c>
      <c r="O19" s="11" t="n">
        <f aca="false">N19*D19</f>
        <v>44882.04</v>
      </c>
      <c r="P19" s="9" t="n">
        <v>4085.9</v>
      </c>
      <c r="Q19" s="10" t="n">
        <f aca="false">P19/I19</f>
        <v>4085.9</v>
      </c>
      <c r="R19" s="10" t="n">
        <f aca="false">Q19*1.19</f>
        <v>4862.221</v>
      </c>
      <c r="S19" s="11" t="n">
        <f aca="false">R19*D19</f>
        <v>58346.652</v>
      </c>
    </row>
    <row r="20" customFormat="false" ht="55.5" hidden="false" customHeight="true" outlineLevel="0" collapsed="false">
      <c r="A20" s="12" t="n">
        <v>16</v>
      </c>
      <c r="B20" s="13" t="s">
        <v>21</v>
      </c>
      <c r="C20" s="13" t="s">
        <v>111</v>
      </c>
      <c r="D20" s="12" t="n">
        <v>57</v>
      </c>
      <c r="E20" s="13" t="s">
        <v>112</v>
      </c>
      <c r="F20" s="13" t="s">
        <v>113</v>
      </c>
      <c r="G20" s="13" t="s">
        <v>114</v>
      </c>
      <c r="H20" s="13" t="s">
        <v>115</v>
      </c>
      <c r="I20" s="14" t="n">
        <v>4</v>
      </c>
      <c r="J20" s="12" t="s">
        <v>109</v>
      </c>
      <c r="K20" s="13" t="s">
        <v>116</v>
      </c>
      <c r="L20" s="15" t="n">
        <v>70224</v>
      </c>
      <c r="M20" s="16" t="n">
        <f aca="false">L20/I20</f>
        <v>17556</v>
      </c>
      <c r="N20" s="16" t="n">
        <f aca="false">M20*1.19</f>
        <v>20891.64</v>
      </c>
      <c r="O20" s="17" t="n">
        <f aca="false">N20*D20</f>
        <v>1190823.48</v>
      </c>
      <c r="P20" s="15" t="n">
        <v>91291.2</v>
      </c>
      <c r="Q20" s="16" t="n">
        <f aca="false">P20/I20</f>
        <v>22822.8</v>
      </c>
      <c r="R20" s="16" t="n">
        <f aca="false">Q20*1.19</f>
        <v>27159.132</v>
      </c>
      <c r="S20" s="17" t="n">
        <f aca="false">R20*D20</f>
        <v>1548070.524</v>
      </c>
    </row>
    <row r="21" customFormat="false" ht="55.5" hidden="false" customHeight="true" outlineLevel="0" collapsed="false">
      <c r="A21" s="6" t="n">
        <v>17</v>
      </c>
      <c r="B21" s="7" t="s">
        <v>21</v>
      </c>
      <c r="C21" s="7" t="s">
        <v>117</v>
      </c>
      <c r="D21" s="6" t="n">
        <v>10</v>
      </c>
      <c r="E21" s="7" t="s">
        <v>118</v>
      </c>
      <c r="F21" s="7" t="s">
        <v>119</v>
      </c>
      <c r="G21" s="7" t="s">
        <v>120</v>
      </c>
      <c r="H21" s="7" t="s">
        <v>40</v>
      </c>
      <c r="I21" s="8" t="n">
        <v>1</v>
      </c>
      <c r="J21" s="6" t="s">
        <v>121</v>
      </c>
      <c r="K21" s="7" t="s">
        <v>122</v>
      </c>
      <c r="L21" s="9" t="n">
        <v>53245</v>
      </c>
      <c r="M21" s="10" t="n">
        <f aca="false">L21/I21</f>
        <v>53245</v>
      </c>
      <c r="N21" s="10" t="n">
        <f aca="false">M21*1.19</f>
        <v>63361.55</v>
      </c>
      <c r="O21" s="11" t="n">
        <f aca="false">N21*D21</f>
        <v>633615.5</v>
      </c>
      <c r="P21" s="9" t="n">
        <v>69218.5</v>
      </c>
      <c r="Q21" s="10" t="n">
        <f aca="false">P21/I21</f>
        <v>69218.5</v>
      </c>
      <c r="R21" s="10" t="n">
        <f aca="false">Q21*1.19</f>
        <v>82370.015</v>
      </c>
      <c r="S21" s="11" t="n">
        <f aca="false">R21*D21</f>
        <v>823700.15</v>
      </c>
    </row>
    <row r="22" customFormat="false" ht="55.5" hidden="false" customHeight="true" outlineLevel="0" collapsed="false">
      <c r="A22" s="12" t="n">
        <v>18</v>
      </c>
      <c r="B22" s="13" t="s">
        <v>21</v>
      </c>
      <c r="C22" s="13" t="s">
        <v>123</v>
      </c>
      <c r="D22" s="12" t="n">
        <v>20</v>
      </c>
      <c r="E22" s="13" t="s">
        <v>112</v>
      </c>
      <c r="F22" s="13" t="s">
        <v>124</v>
      </c>
      <c r="G22" s="13" t="s">
        <v>125</v>
      </c>
      <c r="H22" s="13" t="s">
        <v>126</v>
      </c>
      <c r="I22" s="14" t="n">
        <v>1</v>
      </c>
      <c r="J22" s="12" t="s">
        <v>127</v>
      </c>
      <c r="K22" s="13" t="s">
        <v>128</v>
      </c>
      <c r="L22" s="15" t="n">
        <v>51070</v>
      </c>
      <c r="M22" s="16" t="n">
        <f aca="false">L22/I22</f>
        <v>51070</v>
      </c>
      <c r="N22" s="16" t="n">
        <f aca="false">M22*1.19</f>
        <v>60773.3</v>
      </c>
      <c r="O22" s="17" t="n">
        <f aca="false">N22*D22</f>
        <v>1215466</v>
      </c>
      <c r="P22" s="15" t="n">
        <v>66391</v>
      </c>
      <c r="Q22" s="16" t="n">
        <f aca="false">P22/I22</f>
        <v>66391</v>
      </c>
      <c r="R22" s="16" t="n">
        <f aca="false">Q22*1.19</f>
        <v>79005.29</v>
      </c>
      <c r="S22" s="17" t="n">
        <f aca="false">R22*D22</f>
        <v>1580105.8</v>
      </c>
    </row>
    <row r="23" customFormat="false" ht="55.5" hidden="false" customHeight="true" outlineLevel="0" collapsed="false">
      <c r="A23" s="18" t="n">
        <v>19</v>
      </c>
      <c r="B23" s="19" t="s">
        <v>21</v>
      </c>
      <c r="C23" s="19" t="s">
        <v>129</v>
      </c>
      <c r="D23" s="18" t="n">
        <v>95</v>
      </c>
      <c r="E23" s="19" t="s">
        <v>130</v>
      </c>
      <c r="F23" s="19" t="s">
        <v>131</v>
      </c>
      <c r="G23" s="19" t="s">
        <v>132</v>
      </c>
      <c r="H23" s="19" t="s">
        <v>133</v>
      </c>
      <c r="I23" s="20" t="n">
        <v>4</v>
      </c>
      <c r="J23" s="18" t="s">
        <v>121</v>
      </c>
      <c r="K23" s="19" t="s">
        <v>134</v>
      </c>
      <c r="L23" s="21" t="n">
        <v>62633</v>
      </c>
      <c r="M23" s="22" t="n">
        <f aca="false">L23/I23</f>
        <v>15658.25</v>
      </c>
      <c r="N23" s="22" t="n">
        <f aca="false">M23*1.19</f>
        <v>18633.3175</v>
      </c>
      <c r="O23" s="23" t="n">
        <f aca="false">N23*D23</f>
        <v>1770165.1625</v>
      </c>
      <c r="P23" s="21" t="n">
        <v>81422.9</v>
      </c>
      <c r="Q23" s="22" t="n">
        <f aca="false">P23/I23</f>
        <v>20355.725</v>
      </c>
      <c r="R23" s="22" t="n">
        <f aca="false">Q23*1.19</f>
        <v>24223.31275</v>
      </c>
      <c r="S23" s="23" t="n">
        <f aca="false">R23*D23</f>
        <v>2301214.71125</v>
      </c>
    </row>
    <row r="24" customFormat="false" ht="55.5" hidden="false" customHeight="true" outlineLevel="0" collapsed="false">
      <c r="A24" s="12" t="n">
        <v>20</v>
      </c>
      <c r="B24" s="13" t="s">
        <v>135</v>
      </c>
      <c r="C24" s="13" t="s">
        <v>136</v>
      </c>
      <c r="D24" s="12" t="n">
        <v>30</v>
      </c>
      <c r="E24" s="13" t="s">
        <v>137</v>
      </c>
      <c r="F24" s="13" t="s">
        <v>138</v>
      </c>
      <c r="G24" s="13" t="s">
        <v>139</v>
      </c>
      <c r="H24" s="13" t="s">
        <v>101</v>
      </c>
      <c r="I24" s="14" t="n">
        <v>6</v>
      </c>
      <c r="J24" s="12" t="s">
        <v>54</v>
      </c>
      <c r="K24" s="13" t="s">
        <v>140</v>
      </c>
      <c r="L24" s="15" t="n">
        <v>43722</v>
      </c>
      <c r="M24" s="16" t="n">
        <f aca="false">L24/I24</f>
        <v>7287</v>
      </c>
      <c r="N24" s="16" t="n">
        <f aca="false">M24*1.19</f>
        <v>8671.53</v>
      </c>
      <c r="O24" s="17" t="n">
        <f aca="false">N24*D24</f>
        <v>260145.9</v>
      </c>
      <c r="P24" s="15" t="n">
        <v>56838.6</v>
      </c>
      <c r="Q24" s="16" t="n">
        <f aca="false">P24/I24</f>
        <v>9473.1</v>
      </c>
      <c r="R24" s="16" t="n">
        <f aca="false">Q24*1.19</f>
        <v>11272.989</v>
      </c>
      <c r="S24" s="17" t="n">
        <f aca="false">R24*D24</f>
        <v>338189.67</v>
      </c>
    </row>
    <row r="25" customFormat="false" ht="55.5" hidden="false" customHeight="true" outlineLevel="0" collapsed="false">
      <c r="A25" s="18" t="n">
        <v>21</v>
      </c>
      <c r="B25" s="19" t="s">
        <v>135</v>
      </c>
      <c r="C25" s="19" t="s">
        <v>141</v>
      </c>
      <c r="D25" s="18" t="n">
        <v>32</v>
      </c>
      <c r="E25" s="19" t="s">
        <v>142</v>
      </c>
      <c r="F25" s="19" t="s">
        <v>143</v>
      </c>
      <c r="G25" s="19" t="s">
        <v>144</v>
      </c>
      <c r="H25" s="19" t="s">
        <v>33</v>
      </c>
      <c r="I25" s="20" t="n">
        <v>6</v>
      </c>
      <c r="J25" s="18" t="s">
        <v>145</v>
      </c>
      <c r="K25" s="19" t="s">
        <v>146</v>
      </c>
      <c r="L25" s="21" t="n">
        <v>34998</v>
      </c>
      <c r="M25" s="22" t="n">
        <f aca="false">L25/I25</f>
        <v>5833</v>
      </c>
      <c r="N25" s="22" t="n">
        <f aca="false">M25*1.19</f>
        <v>6941.27</v>
      </c>
      <c r="O25" s="23" t="n">
        <f aca="false">N25*D25</f>
        <v>222120.64</v>
      </c>
      <c r="P25" s="21" t="n">
        <v>45497.4</v>
      </c>
      <c r="Q25" s="22" t="n">
        <f aca="false">P25/I25</f>
        <v>7582.9</v>
      </c>
      <c r="R25" s="22" t="n">
        <f aca="false">Q25*1.19</f>
        <v>9023.651</v>
      </c>
      <c r="S25" s="23" t="n">
        <f aca="false">R25*D25</f>
        <v>288756.832</v>
      </c>
    </row>
    <row r="26" customFormat="false" ht="55.5" hidden="false" customHeight="true" outlineLevel="0" collapsed="false">
      <c r="A26" s="24" t="n">
        <v>22</v>
      </c>
      <c r="B26" s="25" t="s">
        <v>135</v>
      </c>
      <c r="C26" s="25" t="s">
        <v>147</v>
      </c>
      <c r="D26" s="24" t="n">
        <v>700</v>
      </c>
      <c r="E26" s="25" t="s">
        <v>148</v>
      </c>
      <c r="F26" s="25" t="s">
        <v>149</v>
      </c>
      <c r="G26" s="25" t="s">
        <v>150</v>
      </c>
      <c r="H26" s="25" t="s">
        <v>149</v>
      </c>
      <c r="I26" s="26"/>
      <c r="J26" s="24" t="s">
        <v>151</v>
      </c>
      <c r="K26" s="25" t="s">
        <v>152</v>
      </c>
      <c r="L26" s="27" t="s">
        <v>153</v>
      </c>
      <c r="M26" s="27"/>
      <c r="N26" s="27"/>
      <c r="O26" s="27"/>
      <c r="P26" s="27" t="s">
        <v>153</v>
      </c>
      <c r="Q26" s="27"/>
      <c r="R26" s="27"/>
      <c r="S26" s="27"/>
    </row>
    <row r="27" customFormat="false" ht="55.5" hidden="false" customHeight="true" outlineLevel="0" collapsed="false">
      <c r="A27" s="6" t="n">
        <v>23</v>
      </c>
      <c r="B27" s="7" t="s">
        <v>154</v>
      </c>
      <c r="C27" s="7" t="s">
        <v>155</v>
      </c>
      <c r="D27" s="6" t="n">
        <v>110</v>
      </c>
      <c r="E27" s="7" t="s">
        <v>156</v>
      </c>
      <c r="F27" s="7" t="s">
        <v>157</v>
      </c>
      <c r="G27" s="7" t="s">
        <v>158</v>
      </c>
      <c r="H27" s="7" t="s">
        <v>108</v>
      </c>
      <c r="I27" s="8" t="n">
        <v>1</v>
      </c>
      <c r="J27" s="6" t="s">
        <v>159</v>
      </c>
      <c r="K27" s="7" t="s">
        <v>160</v>
      </c>
      <c r="L27" s="9" t="n">
        <v>4338</v>
      </c>
      <c r="M27" s="10" t="n">
        <f aca="false">L27/I27</f>
        <v>4338</v>
      </c>
      <c r="N27" s="10" t="n">
        <f aca="false">M27*1.19</f>
        <v>5162.22</v>
      </c>
      <c r="O27" s="11" t="n">
        <f aca="false">N27*D27</f>
        <v>567844.2</v>
      </c>
      <c r="P27" s="9" t="n">
        <v>5639.4</v>
      </c>
      <c r="Q27" s="10" t="n">
        <f aca="false">P27/I27</f>
        <v>5639.4</v>
      </c>
      <c r="R27" s="10" t="n">
        <f aca="false">Q27*1.19</f>
        <v>6710.886</v>
      </c>
      <c r="S27" s="11" t="n">
        <f aca="false">R27*D27</f>
        <v>738197.46</v>
      </c>
    </row>
    <row r="28" customFormat="false" ht="55.5" hidden="false" customHeight="true" outlineLevel="0" collapsed="false">
      <c r="A28" s="12" t="n">
        <v>24</v>
      </c>
      <c r="B28" s="13" t="s">
        <v>154</v>
      </c>
      <c r="C28" s="13" t="s">
        <v>161</v>
      </c>
      <c r="D28" s="12" t="n">
        <v>140</v>
      </c>
      <c r="E28" s="13" t="s">
        <v>162</v>
      </c>
      <c r="F28" s="13" t="s">
        <v>163</v>
      </c>
      <c r="G28" s="13" t="s">
        <v>164</v>
      </c>
      <c r="H28" s="13" t="s">
        <v>165</v>
      </c>
      <c r="I28" s="14" t="n">
        <v>12</v>
      </c>
      <c r="J28" s="12" t="s">
        <v>127</v>
      </c>
      <c r="K28" s="13" t="s">
        <v>166</v>
      </c>
      <c r="L28" s="15" t="n">
        <v>19278</v>
      </c>
      <c r="M28" s="16" t="n">
        <f aca="false">L28/I28</f>
        <v>1606.5</v>
      </c>
      <c r="N28" s="16" t="n">
        <f aca="false">M28*1.19</f>
        <v>1911.735</v>
      </c>
      <c r="O28" s="17" t="n">
        <f aca="false">N28*D28</f>
        <v>267642.9</v>
      </c>
      <c r="P28" s="15" t="n">
        <v>25061.4</v>
      </c>
      <c r="Q28" s="16" t="n">
        <f aca="false">P28/I28</f>
        <v>2088.45</v>
      </c>
      <c r="R28" s="16" t="n">
        <f aca="false">Q28*1.19</f>
        <v>2485.2555</v>
      </c>
      <c r="S28" s="17" t="n">
        <f aca="false">R28*D28</f>
        <v>347935.77</v>
      </c>
    </row>
    <row r="29" customFormat="false" ht="55.5" hidden="false" customHeight="true" outlineLevel="0" collapsed="false">
      <c r="A29" s="6" t="n">
        <v>25</v>
      </c>
      <c r="B29" s="7" t="s">
        <v>154</v>
      </c>
      <c r="C29" s="7" t="s">
        <v>167</v>
      </c>
      <c r="D29" s="6" t="n">
        <v>50</v>
      </c>
      <c r="E29" s="7" t="s">
        <v>168</v>
      </c>
      <c r="F29" s="7" t="s">
        <v>169</v>
      </c>
      <c r="G29" s="7" t="s">
        <v>170</v>
      </c>
      <c r="H29" s="7" t="s">
        <v>95</v>
      </c>
      <c r="I29" s="8" t="n">
        <v>1</v>
      </c>
      <c r="J29" s="6" t="s">
        <v>121</v>
      </c>
      <c r="K29" s="7" t="s">
        <v>171</v>
      </c>
      <c r="L29" s="9" t="n">
        <v>19294</v>
      </c>
      <c r="M29" s="10" t="n">
        <f aca="false">L29/I29</f>
        <v>19294</v>
      </c>
      <c r="N29" s="10" t="n">
        <f aca="false">M29*1.19</f>
        <v>22959.86</v>
      </c>
      <c r="O29" s="11" t="n">
        <f aca="false">N29*D29</f>
        <v>1147993</v>
      </c>
      <c r="P29" s="9" t="n">
        <v>25082.2</v>
      </c>
      <c r="Q29" s="10" t="n">
        <f aca="false">P29/I29</f>
        <v>25082.2</v>
      </c>
      <c r="R29" s="10" t="n">
        <f aca="false">Q29*1.19</f>
        <v>29847.818</v>
      </c>
      <c r="S29" s="11" t="n">
        <f aca="false">R29*D29</f>
        <v>1492390.9</v>
      </c>
    </row>
    <row r="30" customFormat="false" ht="21.75" hidden="false" customHeight="true" outlineLevel="0" collapsed="false">
      <c r="A30" s="28" t="s">
        <v>172</v>
      </c>
      <c r="B30" s="28"/>
      <c r="C30" s="28"/>
      <c r="D30" s="28"/>
      <c r="E30" s="28"/>
      <c r="F30" s="28"/>
      <c r="G30" s="28"/>
      <c r="H30" s="28"/>
      <c r="I30" s="28"/>
      <c r="J30" s="28"/>
      <c r="K30" s="28"/>
      <c r="L30" s="29"/>
      <c r="M30" s="29"/>
      <c r="N30" s="29"/>
      <c r="O30" s="30" t="n">
        <f aca="false">SUM(O5:O29)</f>
        <v>15920279.8358333</v>
      </c>
      <c r="P30" s="29"/>
      <c r="Q30" s="29"/>
      <c r="R30" s="29"/>
      <c r="S30" s="30" t="n">
        <f aca="false">SUM(S5:S29)</f>
        <v>20696363.7865833</v>
      </c>
    </row>
    <row r="32" customFormat="false" ht="15" hidden="false" customHeight="false" outlineLevel="0" collapsed="false">
      <c r="A32" s="31" t="s">
        <v>173</v>
      </c>
      <c r="B32" s="31"/>
      <c r="C32" s="31"/>
      <c r="D32" s="31"/>
      <c r="E32" s="32" t="n">
        <v>15000000</v>
      </c>
    </row>
    <row r="33" customFormat="false" ht="15" hidden="false" customHeight="false" outlineLevel="0" collapsed="false">
      <c r="A33" s="31" t="s">
        <v>174</v>
      </c>
      <c r="B33" s="31"/>
      <c r="C33" s="31"/>
      <c r="D33" s="31"/>
      <c r="E33" s="33" t="n">
        <f aca="false">S30</f>
        <v>20696363.7865833</v>
      </c>
    </row>
    <row r="34" customFormat="false" ht="15" hidden="false" customHeight="false" outlineLevel="0" collapsed="false">
      <c r="A34" s="31" t="s">
        <v>175</v>
      </c>
      <c r="B34" s="31"/>
      <c r="C34" s="31"/>
      <c r="D34" s="31"/>
      <c r="E34" s="34" t="n">
        <f aca="false">E32-E33</f>
        <v>-5696363.78658333</v>
      </c>
    </row>
    <row r="35" customFormat="false" ht="15" hidden="false" customHeight="false" outlineLevel="0" collapsed="false">
      <c r="A35" s="31" t="s">
        <v>176</v>
      </c>
      <c r="B35" s="31"/>
      <c r="C35" s="31"/>
      <c r="D35" s="31"/>
      <c r="E35" s="35" t="n">
        <f aca="false">E33/E32</f>
        <v>1.37975758577222</v>
      </c>
    </row>
    <row r="36" customFormat="false" ht="15" hidden="false" customHeight="false" outlineLevel="0" collapsed="false">
      <c r="A36" s="31" t="s">
        <v>177</v>
      </c>
      <c r="B36" s="31"/>
      <c r="C36" s="31"/>
      <c r="D36" s="31"/>
      <c r="E36" s="33" t="n">
        <f aca="false">S30-O30</f>
        <v>4776083.95075</v>
      </c>
    </row>
    <row r="38" customFormat="false" ht="15" hidden="false" customHeight="false" outlineLevel="0" collapsed="false">
      <c r="A38" s="36" t="s">
        <v>178</v>
      </c>
      <c r="B38" s="36"/>
      <c r="C38" s="36"/>
      <c r="D38" s="36"/>
      <c r="E38" s="36"/>
      <c r="F38" s="36"/>
      <c r="G38" s="36"/>
      <c r="H38" s="36"/>
      <c r="I38" s="36"/>
      <c r="J38" s="36"/>
      <c r="K38" s="36"/>
      <c r="L38" s="36"/>
      <c r="M38" s="36"/>
      <c r="N38" s="36"/>
      <c r="O38" s="36"/>
      <c r="P38" s="36"/>
      <c r="Q38" s="36"/>
      <c r="R38" s="36"/>
      <c r="S38" s="36"/>
    </row>
    <row r="39" customFormat="false" ht="25.5" hidden="false" customHeight="true" outlineLevel="0" collapsed="false">
      <c r="A39" s="37" t="s">
        <v>179</v>
      </c>
      <c r="B39" s="37"/>
      <c r="C39" s="37"/>
      <c r="D39" s="37"/>
      <c r="E39" s="37"/>
      <c r="F39" s="37"/>
      <c r="G39" s="37"/>
      <c r="H39" s="37"/>
      <c r="I39" s="37"/>
      <c r="J39" s="37"/>
      <c r="K39" s="37"/>
      <c r="L39" s="37"/>
      <c r="M39" s="37"/>
      <c r="N39" s="37"/>
      <c r="O39" s="37"/>
      <c r="P39" s="37"/>
      <c r="Q39" s="37"/>
      <c r="R39" s="37"/>
      <c r="S39" s="37"/>
    </row>
    <row r="40" customFormat="false" ht="25.5" hidden="false" customHeight="true" outlineLevel="0" collapsed="false">
      <c r="A40" s="37" t="s">
        <v>180</v>
      </c>
      <c r="B40" s="37"/>
      <c r="C40" s="37"/>
      <c r="D40" s="37"/>
      <c r="E40" s="37"/>
      <c r="F40" s="37"/>
      <c r="G40" s="37"/>
      <c r="H40" s="37"/>
      <c r="I40" s="37"/>
      <c r="J40" s="37"/>
      <c r="K40" s="37"/>
      <c r="L40" s="37"/>
      <c r="M40" s="37"/>
      <c r="N40" s="37"/>
      <c r="O40" s="37"/>
      <c r="P40" s="37"/>
      <c r="Q40" s="37"/>
      <c r="R40" s="37"/>
      <c r="S40" s="37"/>
    </row>
    <row r="41" customFormat="false" ht="25.5" hidden="false" customHeight="true" outlineLevel="0" collapsed="false">
      <c r="A41" s="37" t="s">
        <v>181</v>
      </c>
      <c r="B41" s="37"/>
      <c r="C41" s="37"/>
      <c r="D41" s="37"/>
      <c r="E41" s="37"/>
      <c r="F41" s="37"/>
      <c r="G41" s="37"/>
      <c r="H41" s="37"/>
      <c r="I41" s="37"/>
      <c r="J41" s="37"/>
      <c r="K41" s="37"/>
      <c r="L41" s="37"/>
      <c r="M41" s="37"/>
      <c r="N41" s="37"/>
      <c r="O41" s="37"/>
      <c r="P41" s="37"/>
      <c r="Q41" s="37"/>
      <c r="R41" s="37"/>
      <c r="S41" s="37"/>
    </row>
    <row r="42" customFormat="false" ht="25.5" hidden="false" customHeight="true" outlineLevel="0" collapsed="false">
      <c r="A42" s="37" t="s">
        <v>182</v>
      </c>
      <c r="B42" s="37"/>
      <c r="C42" s="37"/>
      <c r="D42" s="37"/>
      <c r="E42" s="37"/>
      <c r="F42" s="37"/>
      <c r="G42" s="37"/>
      <c r="H42" s="37"/>
      <c r="I42" s="37"/>
      <c r="J42" s="37"/>
      <c r="K42" s="37"/>
      <c r="L42" s="37"/>
      <c r="M42" s="37"/>
      <c r="N42" s="37"/>
      <c r="O42" s="37"/>
      <c r="P42" s="37"/>
      <c r="Q42" s="37"/>
      <c r="R42" s="37"/>
      <c r="S42" s="37"/>
    </row>
    <row r="43" customFormat="false" ht="25.5" hidden="false" customHeight="true" outlineLevel="0" collapsed="false">
      <c r="A43" s="37" t="s">
        <v>183</v>
      </c>
      <c r="B43" s="37"/>
      <c r="C43" s="37"/>
      <c r="D43" s="37"/>
      <c r="E43" s="37"/>
      <c r="F43" s="37"/>
      <c r="G43" s="37"/>
      <c r="H43" s="37"/>
      <c r="I43" s="37"/>
      <c r="J43" s="37"/>
      <c r="K43" s="37"/>
      <c r="L43" s="37"/>
      <c r="M43" s="37"/>
      <c r="N43" s="37"/>
      <c r="O43" s="37"/>
      <c r="P43" s="37"/>
      <c r="Q43" s="37"/>
      <c r="R43" s="37"/>
      <c r="S43" s="37"/>
    </row>
    <row r="44" customFormat="false" ht="25.5" hidden="false" customHeight="true" outlineLevel="0" collapsed="false">
      <c r="A44" s="37" t="s">
        <v>184</v>
      </c>
      <c r="B44" s="37"/>
      <c r="C44" s="37"/>
      <c r="D44" s="37"/>
      <c r="E44" s="37"/>
      <c r="F44" s="37"/>
      <c r="G44" s="37"/>
      <c r="H44" s="37"/>
      <c r="I44" s="37"/>
      <c r="J44" s="37"/>
      <c r="K44" s="37"/>
      <c r="L44" s="37"/>
      <c r="M44" s="37"/>
      <c r="N44" s="37"/>
      <c r="O44" s="37"/>
      <c r="P44" s="37"/>
      <c r="Q44" s="37"/>
      <c r="R44" s="37"/>
      <c r="S44" s="37"/>
    </row>
    <row r="45" customFormat="false" ht="25.5" hidden="false" customHeight="true" outlineLevel="0" collapsed="false">
      <c r="A45" s="37" t="s">
        <v>185</v>
      </c>
      <c r="B45" s="37"/>
      <c r="C45" s="37"/>
      <c r="D45" s="37"/>
      <c r="E45" s="37"/>
      <c r="F45" s="37"/>
      <c r="G45" s="37"/>
      <c r="H45" s="37"/>
      <c r="I45" s="37"/>
      <c r="J45" s="37"/>
      <c r="K45" s="37"/>
      <c r="L45" s="37"/>
      <c r="M45" s="37"/>
      <c r="N45" s="37"/>
      <c r="O45" s="37"/>
      <c r="P45" s="37"/>
      <c r="Q45" s="37"/>
      <c r="R45" s="37"/>
      <c r="S45" s="37"/>
    </row>
    <row r="46" customFormat="false" ht="25.5" hidden="false" customHeight="true" outlineLevel="0" collapsed="false">
      <c r="A46" s="37" t="s">
        <v>186</v>
      </c>
      <c r="B46" s="37"/>
      <c r="C46" s="37"/>
      <c r="D46" s="37"/>
      <c r="E46" s="37"/>
      <c r="F46" s="37"/>
      <c r="G46" s="37"/>
      <c r="H46" s="37"/>
      <c r="I46" s="37"/>
      <c r="J46" s="37"/>
      <c r="K46" s="37"/>
      <c r="L46" s="37"/>
      <c r="M46" s="37"/>
      <c r="N46" s="37"/>
      <c r="O46" s="37"/>
      <c r="P46" s="37"/>
      <c r="Q46" s="37"/>
      <c r="R46" s="37"/>
      <c r="S46" s="37"/>
    </row>
    <row r="47" customFormat="false" ht="25.5" hidden="false" customHeight="true" outlineLevel="0" collapsed="false">
      <c r="A47" s="37" t="s">
        <v>187</v>
      </c>
      <c r="B47" s="37"/>
      <c r="C47" s="37"/>
      <c r="D47" s="37"/>
      <c r="E47" s="37"/>
      <c r="F47" s="37"/>
      <c r="G47" s="37"/>
      <c r="H47" s="37"/>
      <c r="I47" s="37"/>
      <c r="J47" s="37"/>
      <c r="K47" s="37"/>
      <c r="L47" s="37"/>
      <c r="M47" s="37"/>
      <c r="N47" s="37"/>
      <c r="O47" s="37"/>
      <c r="P47" s="37"/>
      <c r="Q47" s="37"/>
      <c r="R47" s="37"/>
      <c r="S47" s="37"/>
    </row>
    <row r="48" customFormat="false" ht="25.5" hidden="false" customHeight="true" outlineLevel="0" collapsed="false">
      <c r="A48" s="37" t="s">
        <v>188</v>
      </c>
      <c r="B48" s="37"/>
      <c r="C48" s="37"/>
      <c r="D48" s="37"/>
      <c r="E48" s="37"/>
      <c r="F48" s="37"/>
      <c r="G48" s="37"/>
      <c r="H48" s="37"/>
      <c r="I48" s="37"/>
      <c r="J48" s="37"/>
      <c r="K48" s="37"/>
      <c r="L48" s="37"/>
      <c r="M48" s="37"/>
      <c r="N48" s="37"/>
      <c r="O48" s="37"/>
      <c r="P48" s="37"/>
      <c r="Q48" s="37"/>
      <c r="R48" s="37"/>
      <c r="S48" s="37"/>
    </row>
    <row r="49" customFormat="false" ht="25.5" hidden="false" customHeight="true" outlineLevel="0" collapsed="false">
      <c r="A49" s="37" t="s">
        <v>189</v>
      </c>
      <c r="B49" s="37"/>
      <c r="C49" s="37"/>
      <c r="D49" s="37"/>
      <c r="E49" s="37"/>
      <c r="F49" s="37"/>
      <c r="G49" s="37"/>
      <c r="H49" s="37"/>
      <c r="I49" s="37"/>
      <c r="J49" s="37"/>
      <c r="K49" s="37"/>
      <c r="L49" s="37"/>
      <c r="M49" s="37"/>
      <c r="N49" s="37"/>
      <c r="O49" s="37"/>
      <c r="P49" s="37"/>
      <c r="Q49" s="37"/>
      <c r="R49" s="37"/>
      <c r="S49" s="37"/>
    </row>
    <row r="50" customFormat="false" ht="25.5" hidden="false" customHeight="true" outlineLevel="0" collapsed="false">
      <c r="A50" s="37" t="s">
        <v>190</v>
      </c>
      <c r="B50" s="37"/>
      <c r="C50" s="37"/>
      <c r="D50" s="37"/>
      <c r="E50" s="37"/>
      <c r="F50" s="37"/>
      <c r="G50" s="37"/>
      <c r="H50" s="37"/>
      <c r="I50" s="37"/>
      <c r="J50" s="37"/>
      <c r="K50" s="37"/>
      <c r="L50" s="37"/>
      <c r="M50" s="37"/>
      <c r="N50" s="37"/>
      <c r="O50" s="37"/>
      <c r="P50" s="37"/>
      <c r="Q50" s="37"/>
      <c r="R50" s="37"/>
      <c r="S50" s="37"/>
    </row>
  </sheetData>
  <mergeCells count="22">
    <mergeCell ref="A1:S1"/>
    <mergeCell ref="A2:S2"/>
    <mergeCell ref="A30:K30"/>
    <mergeCell ref="P30:R30"/>
    <mergeCell ref="A32:D32"/>
    <mergeCell ref="A33:D33"/>
    <mergeCell ref="A34:D34"/>
    <mergeCell ref="A35:D35"/>
    <mergeCell ref="A36:D36"/>
    <mergeCell ref="A38:S38"/>
    <mergeCell ref="A39:S39"/>
    <mergeCell ref="A40:S40"/>
    <mergeCell ref="A41:S41"/>
    <mergeCell ref="A42:S42"/>
    <mergeCell ref="A43:S43"/>
    <mergeCell ref="A44:S44"/>
    <mergeCell ref="A45:S45"/>
    <mergeCell ref="A46:S46"/>
    <mergeCell ref="A47:S47"/>
    <mergeCell ref="A48:S48"/>
    <mergeCell ref="A49:S49"/>
    <mergeCell ref="A50:S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2026-09-04T16:47:18Z</dcterms:created>
  <dc:creator>openpyxl</dc:creator>
  <dc:description/>
  <dc:language>en-US</dc:language>
  <cp:lastModifiedBy/>
  <dcterms:modified xsi:type="dcterms:W3CDTF">2026-09-04T16:47:18Z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