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uce Bases vs Catalogo RM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<sst xmlns="http://schemas.openxmlformats.org/spreadsheetml/2006/main" count="242" uniqueCount="184">
  <si>
    <t xml:space="preserve">RMG AUTO PARTS — Cruce Bases de Licitación vs Catálogo RMG</t>
  </si>
  <si>
    <t xml:space="preserve">Municipalidad de La Florida — Suministro de Aceites y Lubricantes para Vehículos Municipales | Expediente 6239/2026 · Decreto Exento N°06652/2026 | Presupuesto referencial $15.000.000 IVA incluido | Use los botones [+/-] sobre las columnas para ocultar/mostrar el detalle de Costo y de Precio</t>
  </si>
  <si>
    <t xml:space="preserve">N°</t>
  </si>
  <si>
    <t xml:space="preserve">Categoría</t>
  </si>
  <si>
    <t xml:space="preserve">Ítem solicitado (Bases Técnicas)</t>
  </si>
  <si>
    <t xml:space="preserve">Cant.
Ref.</t>
  </si>
  <si>
    <t xml:space="preserve">Producto RMG (Genérico)</t>
  </si>
  <si>
    <t xml:space="preserve">SKU RMG</t>
  </si>
  <si>
    <t xml:space="preserve">Detalle / Descripción original RMG</t>
  </si>
  <si>
    <t xml:space="preserve">Presentación de
Compra RMG</t>
  </si>
  <si>
    <t xml:space="preserve">Unid. por
Pack/Caja</t>
  </si>
  <si>
    <t xml:space="preserve">% Ajuste</t>
  </si>
  <si>
    <t xml:space="preserve">Observación / Brecha</t>
  </si>
  <si>
    <t xml:space="preserve">Costo Neto
Pack</t>
  </si>
  <si>
    <t xml:space="preserve">Costo Neto
Unit. RMG</t>
  </si>
  <si>
    <t xml:space="preserve">Costo c/IVA
Unit. RMG</t>
  </si>
  <si>
    <t xml:space="preserve">Total Compra
c/IVA (línea)</t>
  </si>
  <si>
    <t xml:space="preserve">Precio Neto
Pack</t>
  </si>
  <si>
    <t xml:space="preserve">Precio Neto
Unit. RMG</t>
  </si>
  <si>
    <t xml:space="preserve">Precio c/IVA
Unit. RMG</t>
  </si>
  <si>
    <t xml:space="preserve">Total Venta
c/IVA (línea)</t>
  </si>
  <si>
    <t xml:space="preserve">Aceites y Lubricantes</t>
  </si>
  <si>
    <t xml:space="preserve">Aceite sintético para motores de bencina y diésel 15W40, tambor 200 L aprox.</t>
  </si>
  <si>
    <t xml:space="preserve">5W40 sintético (línea HD)</t>
  </si>
  <si>
    <t xml:space="preserve">1000469</t>
  </si>
  <si>
    <t xml:space="preserve">CIL FORZA RAYGOLD SAE 15W40 API CK-4 DE 55 GAL</t>
  </si>
  <si>
    <t xml:space="preserve">Tambor/Cilindro 55 GAL</t>
  </si>
  <si>
    <t xml:space="preserve">85%</t>
  </si>
  <si>
    <t xml:space="preserve">Catálogo RMG: presentación en tambor de 55 GAL (formato estándar de venta para tambores). Grado y uso HD coinciden; full sintético línea Raygold CK-4.</t>
  </si>
  <si>
    <t xml:space="preserve">Aceite de mezcla premium 1:40, bidón 5 L</t>
  </si>
  <si>
    <t xml:space="preserve">Aceite 2T (mezcla)</t>
  </si>
  <si>
    <t xml:space="preserve">1000094</t>
  </si>
  <si>
    <t xml:space="preserve">CAJ06 AQUAOIL SUPER 2T TC-W3 DE 1 GAL</t>
  </si>
  <si>
    <t xml:space="preserve">Caja de 6 x 1 GAL</t>
  </si>
  <si>
    <t xml:space="preserve">55%</t>
  </si>
  <si>
    <t xml:space="preserve">RMG no tiene bidón de 5L para este producto, sólo envase de 1 galón (caja de 6). No existe tampoco un producto rotulado '1:40'; TC-W3 es apto para mezcla según fabricante del motor. Buscar alternativa en 5L con Vistony si el organismo exige el envase exacto.</t>
  </si>
  <si>
    <t xml:space="preserve">Aceite para caja 80W140 GL5, tineta 19 L aprox.</t>
  </si>
  <si>
    <t xml:space="preserve">Aceite engranajes</t>
  </si>
  <si>
    <t xml:space="preserve">1000140</t>
  </si>
  <si>
    <t xml:space="preserve">BAL GEAR OIL GL-5 SAE 85W140 DE 5 GL</t>
  </si>
  <si>
    <t xml:space="preserve">Balde 5 GAL</t>
  </si>
  <si>
    <t xml:space="preserve">75%</t>
  </si>
  <si>
    <t xml:space="preserve">Catálogo RMG: balde de 5 galones, formato estándar equivalente a tineta 19L. Maneja 85W140 (no 80W140 puro); GL-5 correcto.</t>
  </si>
  <si>
    <t xml:space="preserve">Aceite para caja 80W90 GL5, tambor 200 L aprox.</t>
  </si>
  <si>
    <t xml:space="preserve">1000143</t>
  </si>
  <si>
    <t xml:space="preserve">CIL GEAR OIL GL-5 SAE 80W90 DE 55 GL</t>
  </si>
  <si>
    <t xml:space="preserve">95%</t>
  </si>
  <si>
    <t xml:space="preserve">Catálogo RMG: tambor de 55 galones, formato estándar de tambor. Grado y norma exactos (GL-5 80W90).</t>
  </si>
  <si>
    <t xml:space="preserve">Aceite de mezcla 2 tiempos 1:50, bidón 5 L</t>
  </si>
  <si>
    <t xml:space="preserve">Mismo caso que ítem 2: RMG sólo tiene envase de 1 galón (caja de 6), no bidón de 5L; sin rótulo de ratio 1:50 en catálogo. TC-W3 genérico apto — buscar alternativa en 5L si el organismo exige el envase exacto.</t>
  </si>
  <si>
    <t xml:space="preserve">Aceite hidráulico NUTO H68, tambor 200 L aprox.</t>
  </si>
  <si>
    <t xml:space="preserve">Hidráulico ISO 68</t>
  </si>
  <si>
    <t xml:space="preserve">1000740</t>
  </si>
  <si>
    <t xml:space="preserve">CIL DRAULA H 68 DE 55 GL</t>
  </si>
  <si>
    <t xml:space="preserve">90%</t>
  </si>
  <si>
    <t xml:space="preserve">Catálogo RMG: tambor de 55 galones, formato estándar. Equivalencia funcional ISO VG68 (Nuto es nombre comercial Mobil; Draula H68 cumple misma norma ISO).</t>
  </si>
  <si>
    <t xml:space="preserve">Aceite hidráulico NUTO H46, tineta 19 L aprox.  [Partida relevante OE-B, 6%]</t>
  </si>
  <si>
    <t xml:space="preserve">Hidráulico ISO 46</t>
  </si>
  <si>
    <t xml:space="preserve">1000083</t>
  </si>
  <si>
    <t xml:space="preserve">BAL DRAULA H 46 DE 5 GAL</t>
  </si>
  <si>
    <t xml:space="preserve">Catálogo RMG: balde de 5 galones, formato estándar equivalente a tineta 19L. Equivalencia funcional ISO VG46. Partida de alta ponderación en evaluación económica.</t>
  </si>
  <si>
    <t xml:space="preserve">Aceite de cadenilla para motosierras, tambor 200 L aprox.</t>
  </si>
  <si>
    <t xml:space="preserve">SIN COBERTURA</t>
  </si>
  <si>
    <t xml:space="preserve">—</t>
  </si>
  <si>
    <t xml:space="preserve">No existe producto en catálogo RMG para este ítem</t>
  </si>
  <si>
    <t xml:space="preserve">0%</t>
  </si>
  <si>
    <t xml:space="preserve">RMG no comercializa aceite de cadenilla/bar oil. Requiere sourcing externo o evaluar exclusión/subcontratación de esta línea.</t>
  </si>
  <si>
    <t xml:space="preserve">S/C</t>
  </si>
  <si>
    <t xml:space="preserve">Aceite para motor de motocicleta 10W50, envases 1 L, full sintético, API SN, JASO MA2</t>
  </si>
  <si>
    <t xml:space="preserve">10W40/15W50 semisintético-sintético (moto)</t>
  </si>
  <si>
    <t xml:space="preserve">1000367</t>
  </si>
  <si>
    <t xml:space="preserve">CAJ12 ATTOM RAYVON 4T 15W50 API SN JASO MA2 DE 1 LT</t>
  </si>
  <si>
    <t xml:space="preserve">Caja de 12 x 1 L</t>
  </si>
  <si>
    <t xml:space="preserve">65%</t>
  </si>
  <si>
    <t xml:space="preserve">Catálogo RMG: envase de 1L, coincide exactamente con lo pedido. RMG no tiene grado exacto 10W50; se ofrece 15W50 con misma norma API SN / JASO MA2.</t>
  </si>
  <si>
    <t xml:space="preserve">Aceite para transmisión mecánica 80W90 full sintético API GL-5 LS o superior, tineta 19 L</t>
  </si>
  <si>
    <t xml:space="preserve">Aceite engranajes GL-5</t>
  </si>
  <si>
    <t xml:space="preserve">1000139</t>
  </si>
  <si>
    <t xml:space="preserve">BAL GEAR OIL GL-5 SAE 80W90 DE 5 GAL</t>
  </si>
  <si>
    <t xml:space="preserve">70%</t>
  </si>
  <si>
    <t xml:space="preserve">Catálogo RMG: balde de 5 galones, formato estándar equivalente a tineta 19L. Grado y norma GL-5 correctos; producto de base mineral (no full sintético) y sin certificación LS explícita.</t>
  </si>
  <si>
    <t xml:space="preserve">Aceite para transmisión mecánica 75W90 full sintético API GL-5 o superior, tineta 19 L</t>
  </si>
  <si>
    <t xml:space="preserve">Aceite engranajes sintético GL-5</t>
  </si>
  <si>
    <t xml:space="preserve">1000588</t>
  </si>
  <si>
    <t xml:space="preserve">CAJ12 GEAR OIL SYNTHETIC API GL-5 SAE J2360 75W-90 DE 1L</t>
  </si>
  <si>
    <t xml:space="preserve">60%</t>
  </si>
  <si>
    <t xml:space="preserve">Especificación técnica exacta (sintético, GL-5, 75W90), pero RMG no tiene esta referencia en tineta de 19L — sólo en botella de 1L. Buscar con Vistony si existe formato tineta/balde para este producto específico antes de ofertar.</t>
  </si>
  <si>
    <t xml:space="preserve">Tinetas de grasa para maquinaria, complejo de litio servicio extendido, NLGI 0 o superior, aprobación Fives Cincinnati P-64</t>
  </si>
  <si>
    <t xml:space="preserve">Grasa complejo de litio NLGI 2</t>
  </si>
  <si>
    <t xml:space="preserve">1100284</t>
  </si>
  <si>
    <t xml:space="preserve">BAL COMPLEJO DE LITIO NLGI 2 DE 35 LIBRAS</t>
  </si>
  <si>
    <t xml:space="preserve">Balde 35 lb</t>
  </si>
  <si>
    <t xml:space="preserve">35%</t>
  </si>
  <si>
    <t xml:space="preserve">Catálogo RMG: balde de 35 libras, formato estándar de venta de grasa (por peso). RMG maneja NLGI 2 (no NLGI 0) y no cuenta con aprobación Fives Cincinnati P-64 certificada — validar con Vistony.</t>
  </si>
  <si>
    <t xml:space="preserve">Tineta 19 L aceite sintético 10W40 diésel c/DPF, low-SAPS, ACEA A3/B3-A3/B4, API SN/CF</t>
  </si>
  <si>
    <t xml:space="preserve">10W40 CK-4 (línea Auster)</t>
  </si>
  <si>
    <t xml:space="preserve">7000012</t>
  </si>
  <si>
    <t xml:space="preserve">AUSTER MAXFORCE 10W40 CK-4 20L</t>
  </si>
  <si>
    <t xml:space="preserve">Balde 20 L</t>
  </si>
  <si>
    <t xml:space="preserve">50%</t>
  </si>
  <si>
    <t xml:space="preserve">Catálogo RMG: balde de 20 litros, formato estándar equivalente a tineta 19L. Norma es API CK-4 (uso pesado), no ACEA A3/B4 (uso liviano c/DPF) — verificar compatibilidad low-SAPS real con Auster antes de ofertar.</t>
  </si>
  <si>
    <t xml:space="preserve">Envases de 4 L, misma especificación que ítem 13</t>
  </si>
  <si>
    <t xml:space="preserve">10W40 semisintético</t>
  </si>
  <si>
    <t xml:space="preserve">1000806</t>
  </si>
  <si>
    <t xml:space="preserve">CAJ06 BLINDAX DUO SAE 10W40 DE 4 LT</t>
  </si>
  <si>
    <t xml:space="preserve">Caja de 6 x 4 L</t>
  </si>
  <si>
    <t xml:space="preserve">40%</t>
  </si>
  <si>
    <t xml:space="preserve">Catálogo RMG: envase de 4L, coincide exactamente con lo pedido. Blindax Duo no está certificado ACEA A3/B4 ni low-SAPS DPF — riesgo de rechazo técnico, validar ficha técnica antes de ofertar.</t>
  </si>
  <si>
    <t xml:space="preserve">Tineta 19 L aceite sintético 5W30 diésel c/DPF, mid-SAPS, ACEA C3/C2, API SP</t>
  </si>
  <si>
    <t xml:space="preserve">5W30 sintético DPF (línea Auster)</t>
  </si>
  <si>
    <t xml:space="preserve">7000003</t>
  </si>
  <si>
    <t xml:space="preserve">AUSTER MAXTECH PRO FE 5W30 ACEA C3 DPF 1L</t>
  </si>
  <si>
    <t xml:space="preserve">Unidad 1 L</t>
  </si>
  <si>
    <t xml:space="preserve">Especificación técnica exacta (ACEA C3, mid-SAPS, DPF, API SP-CF), pero RMG sólo tiene esta referencia en botella de 1L, no en tineta de 19L. Buscar con Auster/Vistony formato tineta o tambor (SKU 7000050, 200L) antes de ofertar.</t>
  </si>
  <si>
    <t xml:space="preserve">Envases de 4 L, misma especificación que ítem 15</t>
  </si>
  <si>
    <t xml:space="preserve">5W30 sintético ACEA C3 (línea Vistony)</t>
  </si>
  <si>
    <t xml:space="preserve">1000544</t>
  </si>
  <si>
    <t xml:space="preserve">CAJ04 ATTOM S320 SAE 5W-30 ACEA C3/API SN DE 5 L</t>
  </si>
  <si>
    <t xml:space="preserve">Caja de 4 x 5 L</t>
  </si>
  <si>
    <t xml:space="preserve">Catálogo RMG: envase de 5L (RMG no maneja este producto en envase de 4L exacto). Norma ACEA C3 coincide; API SN (no SP). Buscar presentación de 4L si el organismo exige el envase exacto.</t>
  </si>
  <si>
    <t xml:space="preserve">Tineta 19 L aceite sintético 15W40 para camiones diésel FAW F-3842 o International</t>
  </si>
  <si>
    <t xml:space="preserve">5W40 sintético HD</t>
  </si>
  <si>
    <t xml:space="preserve">1000411</t>
  </si>
  <si>
    <t xml:space="preserve">BAL FORZA PLUS SAE 15W40 DE 5 GAL</t>
  </si>
  <si>
    <t xml:space="preserve">Catálogo RMG: balde de 5 galones, formato estándar equivalente a tineta 19L. Línea Forza Plus HD apta para camiones diésel, sin homologación específica FAW/International declarada por Vistony.</t>
  </si>
  <si>
    <t xml:space="preserve">Tineta 19 L aceite sintético 5W30 para vehículos a gasolina, ACEA C2/C3, API SM/SN, JASO DL-1-08</t>
  </si>
  <si>
    <t xml:space="preserve">1000545</t>
  </si>
  <si>
    <t xml:space="preserve">CIL ATTOM S320 SAE 5W-30 ACEA C3/API SN DE 55 GL</t>
  </si>
  <si>
    <t xml:space="preserve">ACEA C3 / API SN coincide (JASO DL-1 aplica a diésel, probable ítem duplicado en bases), pero RMG sólo tiene esta referencia en tambor de 55 GAL, no en tineta de 19L. Buscar con Vistony formato tineta/balde específico antes de ofertar.</t>
  </si>
  <si>
    <t xml:space="preserve">Envases de 4 L, misma especificación que ítem 18  [Partida relevante OE-A, 9%]</t>
  </si>
  <si>
    <t xml:space="preserve">5W30 sintético (línea Vistony)</t>
  </si>
  <si>
    <t xml:space="preserve">1001413</t>
  </si>
  <si>
    <t xml:space="preserve">CAJ04 ATTOM S400 SAE 5W-30 API SQ DE 4L</t>
  </si>
  <si>
    <t xml:space="preserve">Caja de 4 x 4 L</t>
  </si>
  <si>
    <t xml:space="preserve">80%</t>
  </si>
  <si>
    <t xml:space="preserve">Catálogo RMG: envase de 4L exacto (caja de 4 bidones de 4L), coincide con lo pedido. Grado 5W30 y API SQ (estándar más nuevo, superset de SM/SN); ACEA C2/C3 no confirmado explícitamente en ficha S400 — validar con Vistony. Partida de mayor ponderación en la oferta económica (9%).</t>
  </si>
  <si>
    <t xml:space="preserve">Líquidos Refrigerantes</t>
  </si>
  <si>
    <t xml:space="preserve">Bidón 4 L, líquido refrigerante mezcla Antifreeze/Coolant 50/50, verde, protección -37°C, ebullición 129°C</t>
  </si>
  <si>
    <t xml:space="preserve">Refrigerante verde OAT 50/50</t>
  </si>
  <si>
    <t xml:space="preserve">1200105</t>
  </si>
  <si>
    <t xml:space="preserve">CAJ06 COOLANT ICE FREEZE ORGANIC (OAT) 50/50 GREEN - 5 IDIOMAS DE 4L</t>
  </si>
  <si>
    <t xml:space="preserve">Catálogo RMG: envase de 4L, coincide exactamente. Producto listo para usar 50/50, color verde, tecnología OAT.</t>
  </si>
  <si>
    <t xml:space="preserve">Bidones 1 galón, misma especificación que ítem 20  [Partida relevante OE-D, 2%]</t>
  </si>
  <si>
    <t xml:space="preserve">Refrigerante verde OAT 33%</t>
  </si>
  <si>
    <t xml:space="preserve">1200079</t>
  </si>
  <si>
    <t xml:space="preserve">CAJ06 COOLANT ICE FREEZE ORGANICO (OAT) 33% GREEN DE 1 GL</t>
  </si>
  <si>
    <t xml:space="preserve">Catálogo RMG: envase de 1 galón, coincide exactamente en tamaño. RMG no tiene en 1GAL la versión 50/50 lista para usar (sólo al 33%) — validar disponibilidad de mezcla 50/50 en este formato con Vistony.</t>
  </si>
  <si>
    <t xml:space="preserve">Bidones 5 L, agua destilada automotriz</t>
  </si>
  <si>
    <t xml:space="preserve">RMG no comercializa agua destilada automotriz. Volumen relevante (700 un.) — evaluar alianza con proveedor externo o incorporar línea al catálogo antes de ofertar.</t>
  </si>
  <si>
    <t xml:space="preserve">Líquidos de Freno y Aditivos</t>
  </si>
  <si>
    <t xml:space="preserve">Bidones 1 L, líquido de freno DOT3</t>
  </si>
  <si>
    <t xml:space="preserve">Líquido de frenos DOT3</t>
  </si>
  <si>
    <t xml:space="preserve">1300006</t>
  </si>
  <si>
    <t xml:space="preserve">FRA LIQUIDO PARA FRENO DOT - 3 DE 1 LT</t>
  </si>
  <si>
    <t xml:space="preserve">100%</t>
  </si>
  <si>
    <t xml:space="preserve">Coincidencia exacta de producto, norma y envase.</t>
  </si>
  <si>
    <t xml:space="preserve">Bidones 1 L, líquido de freno DOT4</t>
  </si>
  <si>
    <t xml:space="preserve">Líquido de frenos DOT4</t>
  </si>
  <si>
    <t xml:space="preserve">1300026</t>
  </si>
  <si>
    <t xml:space="preserve">CAJ12 LIQUIDO PARA FRENO DOT - 4 DE 12 ONZ</t>
  </si>
  <si>
    <t xml:space="preserve">Caja de 12 x 12 oz</t>
  </si>
  <si>
    <t xml:space="preserve">Catálogo RMG: envase de 12 onzas (≈355 mL). RMG no tiene envase de 1L exacto para DOT4 en este catálogo — buscar con Vistony si existe presentación de 1 litro antes de ofertar.</t>
  </si>
  <si>
    <t xml:space="preserve">Bidones 10 L, AdBlue para vehículos diésel</t>
  </si>
  <si>
    <t xml:space="preserve">AdBlue / Urea automotriz (AIRBLUE DEF)</t>
  </si>
  <si>
    <t xml:space="preserve">1200212</t>
  </si>
  <si>
    <t xml:space="preserve">BAL AIRBLUE DEF DE 20 L</t>
  </si>
  <si>
    <t xml:space="preserve">Catálogo RMG: balde de 20 litros (RMG no maneja envase de 10L exacto para AdBlue, sólo 20L, IBC de 1.000L o cilindro de 208L). Producto AdBlue/DEF exacto — buscar presentación de 10L con Vistony si el organismo exige el envase exacto.</t>
  </si>
  <si>
    <t xml:space="preserve">TOTALES OFERTA (líneas con cobertura RMG)</t>
  </si>
  <si>
    <t xml:space="preserve">Presupuesto referencial de las bases (IVA incluido)</t>
  </si>
  <si>
    <t xml:space="preserve">Total Venta RMG c/IVA (líneas con cobertura)</t>
  </si>
  <si>
    <t xml:space="preserve">Diferencia (Presupuesto − Total Venta RMG)</t>
  </si>
  <si>
    <t xml:space="preserve">% del presupuesto utilizado</t>
  </si>
  <si>
    <t xml:space="preserve">Margen estimado (Total Venta − Total Compra, c/IVA)</t>
  </si>
  <si>
    <t xml:space="preserve">Notas y metodología</t>
  </si>
  <si>
    <t xml:space="preserve">0) Para simplificar el análisis visual: las columnas de detalle de Costo (rojo) y de Precio (verde) están AGRUPADAS y colapsadas por defecto — use los botones [+/-] que aparecen sobre las columnas para mostrar/ocultar ese detalle de cálculo sin perderlo.</t>
  </si>
  <si>
    <t xml:space="preserve">1) Presentación de Compra RMG (columna H) es el formato en que RMG efectivamente vende cada producto, leído directo de RMG_Lista_Precios_2026.csv. Cuando ese formato no coincide exactamente con la unidad que pide la licitación (ej. bidón de 3,785L de RMG vs. bidón de 5L pedido), se deja indicado en la Observación — es un dato a resolver buscando la presentación correcta con el proveedor, NO una corrección al precio.</t>
  </si>
  <si>
    <t xml:space="preserve">2) Costo/Precio Neto Unit. RMG = Neto Pack ÷ Unidades por Pack (fórmula) — costo real de UN envase individual tal como lo vende RMG.</t>
  </si>
  <si>
    <t xml:space="preserve">3) Costo/Precio c/IVA Unit. RMG = Neto Unitario × 1,19 (fórmula, IVA 19%). Este es el valor a informar como 'PRECIO UNITARIO IVA INCLUIDO' en el Anexo N°3, por el envase que RMG efectivamente vende.</t>
  </si>
  <si>
    <t xml:space="preserve">4) Total Compra/Venta c/IVA (línea) = Precio c/IVA Unitario × Cantidad Referencial de la licitación (columna D, fórmula) — es el P×Q por línea que se totaliza para comparar contra el presupuesto.</t>
  </si>
  <si>
    <t xml:space="preserve">5) La fila de TOTALES y el bloque de comparación con presupuesto sólo consideran las 23 líneas con cobertura RMG. Los ítems 8 y 22 (SIN COBERTURA) no están incluidos.</t>
  </si>
  <si>
    <t xml:space="preserve">6) % de Ajuste es una estimación cualitativa de qué tan bien el producto RMG cumple la especificación técnica y de presentación de las bases. No reemplaza revisión de ficha técnica formal antes de ofertar.</t>
  </si>
  <si>
    <t xml:space="preserve">7) Ítems en rojo ('SIN COBERTURA'): Ítem 8 (aceite cadenilla motosierra) e Ítem 22 (agua destilada, 700 un.). Las bases exigen ofertar el 100% de los ítems para que la oferta sea admisible.</t>
  </si>
  <si>
    <t xml:space="preserve">8) Ítems en amarillo = partidas relevantes de la oferta económica: Ítem 7 (OE-B, 6%), Ítem 19 (OE-A, 9%), Ítem 21 (OE-D, 2%). Ítem 14 (OE-C, 3%) también incluido.</t>
  </si>
  <si>
    <t xml:space="preserve">9) Fuente de precios: claude/RMG_Lista_Precios_2026.csv. Fuente de requerimientos: Bases_de_Licitación.pdf, Municipalidad de La Florida, Expediente 6239/2026.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</si>
</sst>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;[RED]&quot;-$&quot;#,##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2E5395"/>
        <bgColor rgb="FF1F3864"/>
      </patternFill>
    </fill>
    <fill>
      <patternFill patternType="solid">
        <fgColor rgb="FF7F2020"/>
        <bgColor rgb="FF800000"/>
      </patternFill>
    </fill>
    <fill>
      <patternFill patternType="solid">
        <fgColor rgb="FF1F5C3D"/>
        <bgColor rgb="FF1F3864"/>
      </patternFill>
    </fill>
    <fill>
      <patternFill patternType="solid">
        <fgColor rgb="FFFFFFFF"/>
        <bgColor rgb="FFF2F6FC"/>
      </patternFill>
    </fill>
    <fill>
      <patternFill patternType="solid">
        <fgColor rgb="FFF2F6FC"/>
        <bgColor rgb="FFFFFFFF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D9E1F2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6"/>
      </left>
      <right style="thin">
        <color rgb="FFB7C3D6"/>
      </right>
      <top style="thin">
        <color rgb="FFB7C3D6"/>
      </top>
      <bottom style="thin">
        <color rgb="FFB7C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C3D6"/>
      <rgbColor rgb="FF808080"/>
      <rgbColor rgb="FF9999FF"/>
      <rgbColor rgb="FF993366"/>
      <rgbColor rgb="FFFFF2CC"/>
      <rgbColor rgb="FFF2F6FC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F2020"/>
      <rgbColor rgb="FF993366"/>
      <rgbColor rgb="FF2E5395"/>
      <rgbColor rgb="FF1F5C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4"/>
    <col collapsed="false" customWidth="true" hidden="false" outlineLevel="0" max="2" min="2" style="0" width="15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8" min="8" style="0" width="18"/>
    <col collapsed="false" customWidth="true" hidden="false" outlineLevel="0" max="10" min="9" style="0" width="8"/>
    <col collapsed="false" customWidth="true" hidden="false" outlineLevel="0" max="11" min="11" style="0" width="36"/>
    <col collapsed="false" customWidth="true" hidden="true" outlineLevel="1" max="14" min="12" style="0" width="11"/>
    <col collapsed="false" customWidth="true" hidden="false" outlineLevel="0" max="15" min="15" style="0" width="12"/>
    <col collapsed="false" customWidth="true" hidden="true" outlineLevel="1" max="18" min="16" style="0" width="11"/>
    <col collapsed="false" customWidth="true" hidden="false" outlineLevel="0" max="19" min="19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6" hidden="false" customHeight="true" outlineLevel="0" collapsed="false"/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5" t="s">
        <v>17</v>
      </c>
      <c r="Q4" s="5" t="s">
        <v>18</v>
      </c>
      <c r="R4" s="5" t="s">
        <v>19</v>
      </c>
      <c r="S4" s="5" t="s">
        <v>20</v>
      </c>
    </row>
    <row r="5" customFormat="false" ht="55.5" hidden="false" customHeight="true" outlineLevel="0" collapsed="false">
      <c r="A5" s="6" t="n">
        <v>1</v>
      </c>
      <c r="B5" s="7" t="s">
        <v>21</v>
      </c>
      <c r="C5" s="7" t="s">
        <v>22</v>
      </c>
      <c r="D5" s="6" t="n">
        <v>2</v>
      </c>
      <c r="E5" s="7" t="s">
        <v>23</v>
      </c>
      <c r="F5" s="7" t="s">
        <v>24</v>
      </c>
      <c r="G5" s="7" t="s">
        <v>25</v>
      </c>
      <c r="H5" s="7" t="s">
        <v>26</v>
      </c>
      <c r="I5" s="8" t="n">
        <v>1</v>
      </c>
      <c r="J5" s="6" t="s">
        <v>27</v>
      </c>
      <c r="K5" s="7" t="s">
        <v>28</v>
      </c>
      <c r="L5" s="9" t="n">
        <v>555226</v>
      </c>
      <c r="M5" s="10" t="n">
        <f aca="false">L5/I5</f>
        <v>555226</v>
      </c>
      <c r="N5" s="10" t="n">
        <f aca="false">M5*1.19</f>
        <v>660718.94</v>
      </c>
      <c r="O5" s="11" t="n">
        <f aca="false">N5*D5</f>
        <v>1321437.88</v>
      </c>
      <c r="P5" s="9" t="n">
        <v>721793.8</v>
      </c>
      <c r="Q5" s="10" t="n">
        <f aca="false">P5/I5</f>
        <v>721793.8</v>
      </c>
      <c r="R5" s="10" t="n">
        <f aca="false">Q5*1.19</f>
        <v>858934.622</v>
      </c>
      <c r="S5" s="11" t="n">
        <f aca="false">R5*D5</f>
        <v>1717869.244</v>
      </c>
    </row>
    <row r="6" customFormat="false" ht="55.5" hidden="false" customHeight="true" outlineLevel="0" collapsed="false">
      <c r="A6" s="12" t="n">
        <v>2</v>
      </c>
      <c r="B6" s="13" t="s">
        <v>21</v>
      </c>
      <c r="C6" s="13" t="s">
        <v>29</v>
      </c>
      <c r="D6" s="12" t="n">
        <v>30</v>
      </c>
      <c r="E6" s="13" t="s">
        <v>30</v>
      </c>
      <c r="F6" s="13" t="s">
        <v>31</v>
      </c>
      <c r="G6" s="13" t="s">
        <v>32</v>
      </c>
      <c r="H6" s="13" t="s">
        <v>33</v>
      </c>
      <c r="I6" s="14" t="n">
        <v>6</v>
      </c>
      <c r="J6" s="12" t="s">
        <v>34</v>
      </c>
      <c r="K6" s="13" t="s">
        <v>35</v>
      </c>
      <c r="L6" s="15" t="n">
        <v>44902</v>
      </c>
      <c r="M6" s="16" t="n">
        <f aca="false">L6/I6</f>
        <v>7483.66666666667</v>
      </c>
      <c r="N6" s="16" t="n">
        <f aca="false">M6*1.19</f>
        <v>8905.56333333333</v>
      </c>
      <c r="O6" s="17" t="n">
        <f aca="false">N6*D6</f>
        <v>267166.9</v>
      </c>
      <c r="P6" s="15" t="n">
        <v>58372.6</v>
      </c>
      <c r="Q6" s="16" t="n">
        <f aca="false">P6/I6</f>
        <v>9728.76666666667</v>
      </c>
      <c r="R6" s="16" t="n">
        <f aca="false">Q6*1.19</f>
        <v>11577.2323333333</v>
      </c>
      <c r="S6" s="17" t="n">
        <f aca="false">R6*D6</f>
        <v>347316.97</v>
      </c>
    </row>
    <row r="7" customFormat="false" ht="55.5" hidden="false" customHeight="true" outlineLevel="0" collapsed="false">
      <c r="A7" s="6" t="n">
        <v>3</v>
      </c>
      <c r="B7" s="7" t="s">
        <v>21</v>
      </c>
      <c r="C7" s="7" t="s">
        <v>36</v>
      </c>
      <c r="D7" s="6" t="n">
        <v>4</v>
      </c>
      <c r="E7" s="7" t="s">
        <v>37</v>
      </c>
      <c r="F7" s="7" t="s">
        <v>38</v>
      </c>
      <c r="G7" s="7" t="s">
        <v>39</v>
      </c>
      <c r="H7" s="7" t="s">
        <v>40</v>
      </c>
      <c r="I7" s="8" t="n">
        <v>1</v>
      </c>
      <c r="J7" s="6" t="s">
        <v>41</v>
      </c>
      <c r="K7" s="7" t="s">
        <v>42</v>
      </c>
      <c r="L7" s="9" t="n">
        <v>61970</v>
      </c>
      <c r="M7" s="10" t="n">
        <f aca="false">L7/I7</f>
        <v>61970</v>
      </c>
      <c r="N7" s="10" t="n">
        <f aca="false">M7*1.19</f>
        <v>73744.3</v>
      </c>
      <c r="O7" s="11" t="n">
        <f aca="false">N7*D7</f>
        <v>294977.2</v>
      </c>
      <c r="P7" s="9" t="n">
        <v>80561</v>
      </c>
      <c r="Q7" s="10" t="n">
        <f aca="false">P7/I7</f>
        <v>80561</v>
      </c>
      <c r="R7" s="10" t="n">
        <f aca="false">Q7*1.19</f>
        <v>95867.59</v>
      </c>
      <c r="S7" s="11" t="n">
        <f aca="false">R7*D7</f>
        <v>383470.36</v>
      </c>
    </row>
    <row r="8" customFormat="false" ht="55.5" hidden="false" customHeight="true" outlineLevel="0" collapsed="false">
      <c r="A8" s="12" t="n">
        <v>4</v>
      </c>
      <c r="B8" s="13" t="s">
        <v>21</v>
      </c>
      <c r="C8" s="13" t="s">
        <v>43</v>
      </c>
      <c r="D8" s="12" t="n">
        <v>1</v>
      </c>
      <c r="E8" s="13" t="s">
        <v>37</v>
      </c>
      <c r="F8" s="13" t="s">
        <v>44</v>
      </c>
      <c r="G8" s="13" t="s">
        <v>45</v>
      </c>
      <c r="H8" s="13" t="s">
        <v>26</v>
      </c>
      <c r="I8" s="14" t="n">
        <v>1</v>
      </c>
      <c r="J8" s="12" t="s">
        <v>46</v>
      </c>
      <c r="K8" s="13" t="s">
        <v>47</v>
      </c>
      <c r="L8" s="15" t="n">
        <v>557444</v>
      </c>
      <c r="M8" s="16" t="n">
        <f aca="false">L8/I8</f>
        <v>557444</v>
      </c>
      <c r="N8" s="16" t="n">
        <f aca="false">M8*1.19</f>
        <v>663358.36</v>
      </c>
      <c r="O8" s="17" t="n">
        <f aca="false">N8*D8</f>
        <v>663358.36</v>
      </c>
      <c r="P8" s="15" t="n">
        <v>724677.2</v>
      </c>
      <c r="Q8" s="16" t="n">
        <f aca="false">P8/I8</f>
        <v>724677.2</v>
      </c>
      <c r="R8" s="16" t="n">
        <f aca="false">Q8*1.19</f>
        <v>862365.868</v>
      </c>
      <c r="S8" s="17" t="n">
        <f aca="false">R8*D8</f>
        <v>862365.868</v>
      </c>
    </row>
    <row r="9" customFormat="false" ht="55.5" hidden="false" customHeight="true" outlineLevel="0" collapsed="false">
      <c r="A9" s="6" t="n">
        <v>5</v>
      </c>
      <c r="B9" s="7" t="s">
        <v>21</v>
      </c>
      <c r="C9" s="7" t="s">
        <v>48</v>
      </c>
      <c r="D9" s="6" t="n">
        <v>20</v>
      </c>
      <c r="E9" s="7" t="s">
        <v>30</v>
      </c>
      <c r="F9" s="7" t="s">
        <v>31</v>
      </c>
      <c r="G9" s="7" t="s">
        <v>32</v>
      </c>
      <c r="H9" s="7" t="s">
        <v>33</v>
      </c>
      <c r="I9" s="8" t="n">
        <v>6</v>
      </c>
      <c r="J9" s="6" t="s">
        <v>34</v>
      </c>
      <c r="K9" s="7" t="s">
        <v>49</v>
      </c>
      <c r="L9" s="9" t="n">
        <v>44902</v>
      </c>
      <c r="M9" s="10" t="n">
        <f aca="false">L9/I9</f>
        <v>7483.66666666667</v>
      </c>
      <c r="N9" s="10" t="n">
        <f aca="false">M9*1.19</f>
        <v>8905.56333333333</v>
      </c>
      <c r="O9" s="11" t="n">
        <f aca="false">N9*D9</f>
        <v>178111.266666667</v>
      </c>
      <c r="P9" s="9" t="n">
        <v>58372.6</v>
      </c>
      <c r="Q9" s="10" t="n">
        <f aca="false">P9/I9</f>
        <v>9728.76666666667</v>
      </c>
      <c r="R9" s="10" t="n">
        <f aca="false">Q9*1.19</f>
        <v>11577.2323333333</v>
      </c>
      <c r="S9" s="11" t="n">
        <f aca="false">R9*D9</f>
        <v>231544.646666667</v>
      </c>
    </row>
    <row r="10" customFormat="false" ht="55.5" hidden="false" customHeight="true" outlineLevel="0" collapsed="false">
      <c r="A10" s="12" t="n">
        <v>6</v>
      </c>
      <c r="B10" s="13" t="s">
        <v>21</v>
      </c>
      <c r="C10" s="13" t="s">
        <v>50</v>
      </c>
      <c r="D10" s="12" t="n">
        <v>2</v>
      </c>
      <c r="E10" s="13" t="s">
        <v>51</v>
      </c>
      <c r="F10" s="13" t="s">
        <v>52</v>
      </c>
      <c r="G10" s="13" t="s">
        <v>53</v>
      </c>
      <c r="H10" s="13" t="s">
        <v>26</v>
      </c>
      <c r="I10" s="14" t="n">
        <v>1</v>
      </c>
      <c r="J10" s="12" t="s">
        <v>54</v>
      </c>
      <c r="K10" s="13" t="s">
        <v>55</v>
      </c>
      <c r="L10" s="15" t="n">
        <v>406510</v>
      </c>
      <c r="M10" s="16" t="n">
        <f aca="false">L10/I10</f>
        <v>406510</v>
      </c>
      <c r="N10" s="16" t="n">
        <f aca="false">M10*1.19</f>
        <v>483746.9</v>
      </c>
      <c r="O10" s="17" t="n">
        <f aca="false">N10*D10</f>
        <v>967493.8</v>
      </c>
      <c r="P10" s="15" t="n">
        <v>528463</v>
      </c>
      <c r="Q10" s="16" t="n">
        <f aca="false">P10/I10</f>
        <v>528463</v>
      </c>
      <c r="R10" s="16" t="n">
        <f aca="false">Q10*1.19</f>
        <v>628870.97</v>
      </c>
      <c r="S10" s="17" t="n">
        <f aca="false">R10*D10</f>
        <v>1257741.94</v>
      </c>
    </row>
    <row r="11" customFormat="false" ht="55.5" hidden="false" customHeight="true" outlineLevel="0" collapsed="false">
      <c r="A11" s="18" t="n">
        <v>7</v>
      </c>
      <c r="B11" s="19" t="s">
        <v>21</v>
      </c>
      <c r="C11" s="19" t="s">
        <v>56</v>
      </c>
      <c r="D11" s="18" t="n">
        <v>15</v>
      </c>
      <c r="E11" s="19" t="s">
        <v>57</v>
      </c>
      <c r="F11" s="19" t="s">
        <v>58</v>
      </c>
      <c r="G11" s="19" t="s">
        <v>59</v>
      </c>
      <c r="H11" s="19" t="s">
        <v>40</v>
      </c>
      <c r="I11" s="20" t="n">
        <v>1</v>
      </c>
      <c r="J11" s="18" t="s">
        <v>54</v>
      </c>
      <c r="K11" s="19" t="s">
        <v>60</v>
      </c>
      <c r="L11" s="21" t="n">
        <v>36069</v>
      </c>
      <c r="M11" s="22" t="n">
        <f aca="false">L11/I11</f>
        <v>36069</v>
      </c>
      <c r="N11" s="22" t="n">
        <f aca="false">M11*1.19</f>
        <v>42922.11</v>
      </c>
      <c r="O11" s="23" t="n">
        <f aca="false">N11*D11</f>
        <v>643831.65</v>
      </c>
      <c r="P11" s="21" t="n">
        <v>46889.7</v>
      </c>
      <c r="Q11" s="22" t="n">
        <f aca="false">P11/I11</f>
        <v>46889.7</v>
      </c>
      <c r="R11" s="22" t="n">
        <f aca="false">Q11*1.19</f>
        <v>55798.743</v>
      </c>
      <c r="S11" s="23" t="n">
        <f aca="false">R11*D11</f>
        <v>836981.145</v>
      </c>
    </row>
    <row r="12" customFormat="false" ht="55.5" hidden="false" customHeight="true" outlineLevel="0" collapsed="false">
      <c r="A12" s="24" t="n">
        <v>8</v>
      </c>
      <c r="B12" s="25" t="s">
        <v>21</v>
      </c>
      <c r="C12" s="25" t="s">
        <v>61</v>
      </c>
      <c r="D12" s="24" t="n">
        <v>3</v>
      </c>
      <c r="E12" s="25" t="s">
        <v>62</v>
      </c>
      <c r="F12" s="25" t="s">
        <v>63</v>
      </c>
      <c r="G12" s="25" t="s">
        <v>64</v>
      </c>
      <c r="H12" s="25" t="s">
        <v>63</v>
      </c>
      <c r="I12" s="26"/>
      <c r="J12" s="24" t="s">
        <v>65</v>
      </c>
      <c r="K12" s="25" t="s">
        <v>66</v>
      </c>
      <c r="L12" s="27" t="s">
        <v>67</v>
      </c>
      <c r="M12" s="27"/>
      <c r="N12" s="27"/>
      <c r="O12" s="27"/>
      <c r="P12" s="27" t="s">
        <v>67</v>
      </c>
      <c r="Q12" s="27"/>
      <c r="R12" s="27"/>
      <c r="S12" s="27"/>
    </row>
    <row r="13" customFormat="false" ht="55.5" hidden="false" customHeight="true" outlineLevel="0" collapsed="false">
      <c r="A13" s="6" t="n">
        <v>9</v>
      </c>
      <c r="B13" s="7" t="s">
        <v>21</v>
      </c>
      <c r="C13" s="7" t="s">
        <v>68</v>
      </c>
      <c r="D13" s="6" t="n">
        <v>24</v>
      </c>
      <c r="E13" s="7" t="s">
        <v>69</v>
      </c>
      <c r="F13" s="7" t="s">
        <v>70</v>
      </c>
      <c r="G13" s="7" t="s">
        <v>71</v>
      </c>
      <c r="H13" s="7" t="s">
        <v>72</v>
      </c>
      <c r="I13" s="8" t="n">
        <v>12</v>
      </c>
      <c r="J13" s="6" t="s">
        <v>73</v>
      </c>
      <c r="K13" s="7" t="s">
        <v>74</v>
      </c>
      <c r="L13" s="9" t="n">
        <v>48610</v>
      </c>
      <c r="M13" s="10" t="n">
        <f aca="false">L13/I13</f>
        <v>4050.83333333333</v>
      </c>
      <c r="N13" s="10" t="n">
        <f aca="false">M13*1.19</f>
        <v>4820.49166666667</v>
      </c>
      <c r="O13" s="11" t="n">
        <f aca="false">N13*D13</f>
        <v>115691.8</v>
      </c>
      <c r="P13" s="9" t="n">
        <v>63193</v>
      </c>
      <c r="Q13" s="10" t="n">
        <f aca="false">P13/I13</f>
        <v>5266.08333333333</v>
      </c>
      <c r="R13" s="10" t="n">
        <f aca="false">Q13*1.19</f>
        <v>6266.63916666667</v>
      </c>
      <c r="S13" s="11" t="n">
        <f aca="false">R13*D13</f>
        <v>150399.34</v>
      </c>
    </row>
    <row r="14" customFormat="false" ht="55.5" hidden="false" customHeight="true" outlineLevel="0" collapsed="false">
      <c r="A14" s="12" t="n">
        <v>10</v>
      </c>
      <c r="B14" s="13" t="s">
        <v>21</v>
      </c>
      <c r="C14" s="13" t="s">
        <v>75</v>
      </c>
      <c r="D14" s="12" t="n">
        <v>12</v>
      </c>
      <c r="E14" s="13" t="s">
        <v>76</v>
      </c>
      <c r="F14" s="13" t="s">
        <v>77</v>
      </c>
      <c r="G14" s="13" t="s">
        <v>78</v>
      </c>
      <c r="H14" s="13" t="s">
        <v>40</v>
      </c>
      <c r="I14" s="14" t="n">
        <v>1</v>
      </c>
      <c r="J14" s="12" t="s">
        <v>79</v>
      </c>
      <c r="K14" s="13" t="s">
        <v>80</v>
      </c>
      <c r="L14" s="15" t="n">
        <v>55432</v>
      </c>
      <c r="M14" s="16" t="n">
        <f aca="false">L14/I14</f>
        <v>55432</v>
      </c>
      <c r="N14" s="16" t="n">
        <f aca="false">M14*1.19</f>
        <v>65964.08</v>
      </c>
      <c r="O14" s="17" t="n">
        <f aca="false">N14*D14</f>
        <v>791568.96</v>
      </c>
      <c r="P14" s="15" t="n">
        <v>72061.6</v>
      </c>
      <c r="Q14" s="16" t="n">
        <f aca="false">P14/I14</f>
        <v>72061.6</v>
      </c>
      <c r="R14" s="16" t="n">
        <f aca="false">Q14*1.19</f>
        <v>85753.304</v>
      </c>
      <c r="S14" s="17" t="n">
        <f aca="false">R14*D14</f>
        <v>1029039.648</v>
      </c>
    </row>
    <row r="15" customFormat="false" ht="55.5" hidden="false" customHeight="true" outlineLevel="0" collapsed="false">
      <c r="A15" s="6" t="n">
        <v>11</v>
      </c>
      <c r="B15" s="7" t="s">
        <v>21</v>
      </c>
      <c r="C15" s="7" t="s">
        <v>81</v>
      </c>
      <c r="D15" s="6" t="n">
        <v>12</v>
      </c>
      <c r="E15" s="7" t="s">
        <v>82</v>
      </c>
      <c r="F15" s="7" t="s">
        <v>83</v>
      </c>
      <c r="G15" s="7" t="s">
        <v>84</v>
      </c>
      <c r="H15" s="7" t="s">
        <v>72</v>
      </c>
      <c r="I15" s="8" t="n">
        <v>12</v>
      </c>
      <c r="J15" s="6" t="s">
        <v>85</v>
      </c>
      <c r="K15" s="7" t="s">
        <v>86</v>
      </c>
      <c r="L15" s="9" t="n">
        <v>53336</v>
      </c>
      <c r="M15" s="10" t="n">
        <f aca="false">L15/I15</f>
        <v>4444.66666666667</v>
      </c>
      <c r="N15" s="10" t="n">
        <f aca="false">M15*1.19</f>
        <v>5289.15333333333</v>
      </c>
      <c r="O15" s="11" t="n">
        <f aca="false">N15*D15</f>
        <v>63469.84</v>
      </c>
      <c r="P15" s="9" t="n">
        <v>69336.8</v>
      </c>
      <c r="Q15" s="10" t="n">
        <f aca="false">P15/I15</f>
        <v>5778.06666666667</v>
      </c>
      <c r="R15" s="10" t="n">
        <f aca="false">Q15*1.19</f>
        <v>6875.89933333333</v>
      </c>
      <c r="S15" s="11" t="n">
        <f aca="false">R15*D15</f>
        <v>82510.792</v>
      </c>
    </row>
    <row r="16" customFormat="false" ht="55.5" hidden="false" customHeight="true" outlineLevel="0" collapsed="false">
      <c r="A16" s="12" t="n">
        <v>12</v>
      </c>
      <c r="B16" s="13" t="s">
        <v>21</v>
      </c>
      <c r="C16" s="13" t="s">
        <v>87</v>
      </c>
      <c r="D16" s="12" t="n">
        <v>8</v>
      </c>
      <c r="E16" s="13" t="s">
        <v>88</v>
      </c>
      <c r="F16" s="13" t="s">
        <v>89</v>
      </c>
      <c r="G16" s="13" t="s">
        <v>90</v>
      </c>
      <c r="H16" s="13" t="s">
        <v>91</v>
      </c>
      <c r="I16" s="14" t="n">
        <v>1</v>
      </c>
      <c r="J16" s="12" t="s">
        <v>92</v>
      </c>
      <c r="K16" s="13" t="s">
        <v>93</v>
      </c>
      <c r="L16" s="15" t="n">
        <v>59926</v>
      </c>
      <c r="M16" s="16" t="n">
        <f aca="false">L16/I16</f>
        <v>59926</v>
      </c>
      <c r="N16" s="16" t="n">
        <f aca="false">M16*1.19</f>
        <v>71311.94</v>
      </c>
      <c r="O16" s="17" t="n">
        <f aca="false">N16*D16</f>
        <v>570495.52</v>
      </c>
      <c r="P16" s="15" t="n">
        <v>77903.8</v>
      </c>
      <c r="Q16" s="16" t="n">
        <f aca="false">P16/I16</f>
        <v>77903.8</v>
      </c>
      <c r="R16" s="16" t="n">
        <f aca="false">Q16*1.19</f>
        <v>92705.522</v>
      </c>
      <c r="S16" s="17" t="n">
        <f aca="false">R16*D16</f>
        <v>741644.176</v>
      </c>
    </row>
    <row r="17" customFormat="false" ht="55.5" hidden="false" customHeight="true" outlineLevel="0" collapsed="false">
      <c r="A17" s="6" t="n">
        <v>13</v>
      </c>
      <c r="B17" s="7" t="s">
        <v>21</v>
      </c>
      <c r="C17" s="7" t="s">
        <v>94</v>
      </c>
      <c r="D17" s="6" t="n">
        <v>20</v>
      </c>
      <c r="E17" s="7" t="s">
        <v>95</v>
      </c>
      <c r="F17" s="7" t="s">
        <v>96</v>
      </c>
      <c r="G17" s="7" t="s">
        <v>97</v>
      </c>
      <c r="H17" s="7" t="s">
        <v>98</v>
      </c>
      <c r="I17" s="8" t="n">
        <v>1</v>
      </c>
      <c r="J17" s="6" t="s">
        <v>99</v>
      </c>
      <c r="K17" s="7" t="s">
        <v>100</v>
      </c>
      <c r="L17" s="9" t="n">
        <v>3655</v>
      </c>
      <c r="M17" s="10" t="n">
        <f aca="false">L17/I17</f>
        <v>3655</v>
      </c>
      <c r="N17" s="10" t="n">
        <f aca="false">M17*1.19</f>
        <v>4349.45</v>
      </c>
      <c r="O17" s="11" t="n">
        <f aca="false">N17*D17</f>
        <v>86989</v>
      </c>
      <c r="P17" s="9" t="n">
        <v>4751.5</v>
      </c>
      <c r="Q17" s="10" t="n">
        <f aca="false">P17/I17</f>
        <v>4751.5</v>
      </c>
      <c r="R17" s="10" t="n">
        <f aca="false">Q17*1.19</f>
        <v>5654.285</v>
      </c>
      <c r="S17" s="11" t="n">
        <f aca="false">R17*D17</f>
        <v>113085.7</v>
      </c>
    </row>
    <row r="18" customFormat="false" ht="55.5" hidden="false" customHeight="true" outlineLevel="0" collapsed="false">
      <c r="A18" s="12" t="n">
        <v>14</v>
      </c>
      <c r="B18" s="13" t="s">
        <v>21</v>
      </c>
      <c r="C18" s="13" t="s">
        <v>101</v>
      </c>
      <c r="D18" s="12" t="n">
        <v>95</v>
      </c>
      <c r="E18" s="13" t="s">
        <v>102</v>
      </c>
      <c r="F18" s="13" t="s">
        <v>103</v>
      </c>
      <c r="G18" s="13" t="s">
        <v>104</v>
      </c>
      <c r="H18" s="13" t="s">
        <v>105</v>
      </c>
      <c r="I18" s="14" t="n">
        <v>6</v>
      </c>
      <c r="J18" s="12" t="s">
        <v>106</v>
      </c>
      <c r="K18" s="13" t="s">
        <v>107</v>
      </c>
      <c r="L18" s="15" t="n">
        <v>58234</v>
      </c>
      <c r="M18" s="16" t="n">
        <f aca="false">L18/I18</f>
        <v>9705.66666666667</v>
      </c>
      <c r="N18" s="16" t="n">
        <f aca="false">M18*1.19</f>
        <v>11549.7433333333</v>
      </c>
      <c r="O18" s="17" t="n">
        <f aca="false">N18*D18</f>
        <v>1097225.61666667</v>
      </c>
      <c r="P18" s="15" t="n">
        <v>75704.2</v>
      </c>
      <c r="Q18" s="16" t="n">
        <f aca="false">P18/I18</f>
        <v>12617.3666666667</v>
      </c>
      <c r="R18" s="16" t="n">
        <f aca="false">Q18*1.19</f>
        <v>15014.6663333333</v>
      </c>
      <c r="S18" s="17" t="n">
        <f aca="false">R18*D18</f>
        <v>1426393.30166667</v>
      </c>
    </row>
    <row r="19" customFormat="false" ht="55.5" hidden="false" customHeight="true" outlineLevel="0" collapsed="false">
      <c r="A19" s="6" t="n">
        <v>15</v>
      </c>
      <c r="B19" s="7" t="s">
        <v>21</v>
      </c>
      <c r="C19" s="7" t="s">
        <v>108</v>
      </c>
      <c r="D19" s="6" t="n">
        <v>12</v>
      </c>
      <c r="E19" s="7" t="s">
        <v>109</v>
      </c>
      <c r="F19" s="7" t="s">
        <v>110</v>
      </c>
      <c r="G19" s="7" t="s">
        <v>111</v>
      </c>
      <c r="H19" s="7" t="s">
        <v>112</v>
      </c>
      <c r="I19" s="8" t="n">
        <v>1</v>
      </c>
      <c r="J19" s="6" t="s">
        <v>41</v>
      </c>
      <c r="K19" s="7" t="s">
        <v>113</v>
      </c>
      <c r="L19" s="9" t="n">
        <v>3143</v>
      </c>
      <c r="M19" s="10" t="n">
        <f aca="false">L19/I19</f>
        <v>3143</v>
      </c>
      <c r="N19" s="10" t="n">
        <f aca="false">M19*1.19</f>
        <v>3740.17</v>
      </c>
      <c r="O19" s="11" t="n">
        <f aca="false">N19*D19</f>
        <v>44882.04</v>
      </c>
      <c r="P19" s="9" t="n">
        <v>4085.9</v>
      </c>
      <c r="Q19" s="10" t="n">
        <f aca="false">P19/I19</f>
        <v>4085.9</v>
      </c>
      <c r="R19" s="10" t="n">
        <f aca="false">Q19*1.19</f>
        <v>4862.221</v>
      </c>
      <c r="S19" s="11" t="n">
        <f aca="false">R19*D19</f>
        <v>58346.652</v>
      </c>
    </row>
    <row r="20" customFormat="false" ht="55.5" hidden="false" customHeight="true" outlineLevel="0" collapsed="false">
      <c r="A20" s="12" t="n">
        <v>16</v>
      </c>
      <c r="B20" s="13" t="s">
        <v>21</v>
      </c>
      <c r="C20" s="13" t="s">
        <v>114</v>
      </c>
      <c r="D20" s="12" t="n">
        <v>57</v>
      </c>
      <c r="E20" s="13" t="s">
        <v>115</v>
      </c>
      <c r="F20" s="13" t="s">
        <v>116</v>
      </c>
      <c r="G20" s="13" t="s">
        <v>117</v>
      </c>
      <c r="H20" s="13" t="s">
        <v>118</v>
      </c>
      <c r="I20" s="14" t="n">
        <v>4</v>
      </c>
      <c r="J20" s="12" t="s">
        <v>79</v>
      </c>
      <c r="K20" s="13" t="s">
        <v>119</v>
      </c>
      <c r="L20" s="15" t="n">
        <v>70224</v>
      </c>
      <c r="M20" s="16" t="n">
        <f aca="false">L20/I20</f>
        <v>17556</v>
      </c>
      <c r="N20" s="16" t="n">
        <f aca="false">M20*1.19</f>
        <v>20891.64</v>
      </c>
      <c r="O20" s="17" t="n">
        <f aca="false">N20*D20</f>
        <v>1190823.48</v>
      </c>
      <c r="P20" s="15" t="n">
        <v>91291.2</v>
      </c>
      <c r="Q20" s="16" t="n">
        <f aca="false">P20/I20</f>
        <v>22822.8</v>
      </c>
      <c r="R20" s="16" t="n">
        <f aca="false">Q20*1.19</f>
        <v>27159.132</v>
      </c>
      <c r="S20" s="17" t="n">
        <f aca="false">R20*D20</f>
        <v>1548070.524</v>
      </c>
    </row>
    <row r="21" customFormat="false" ht="55.5" hidden="false" customHeight="true" outlineLevel="0" collapsed="false">
      <c r="A21" s="6" t="n">
        <v>17</v>
      </c>
      <c r="B21" s="7" t="s">
        <v>21</v>
      </c>
      <c r="C21" s="7" t="s">
        <v>120</v>
      </c>
      <c r="D21" s="6" t="n">
        <v>10</v>
      </c>
      <c r="E21" s="7" t="s">
        <v>121</v>
      </c>
      <c r="F21" s="7" t="s">
        <v>122</v>
      </c>
      <c r="G21" s="7" t="s">
        <v>123</v>
      </c>
      <c r="H21" s="7" t="s">
        <v>40</v>
      </c>
      <c r="I21" s="8" t="n">
        <v>1</v>
      </c>
      <c r="J21" s="6" t="s">
        <v>41</v>
      </c>
      <c r="K21" s="7" t="s">
        <v>124</v>
      </c>
      <c r="L21" s="9" t="n">
        <v>53245</v>
      </c>
      <c r="M21" s="10" t="n">
        <f aca="false">L21/I21</f>
        <v>53245</v>
      </c>
      <c r="N21" s="10" t="n">
        <f aca="false">M21*1.19</f>
        <v>63361.55</v>
      </c>
      <c r="O21" s="11" t="n">
        <f aca="false">N21*D21</f>
        <v>633615.5</v>
      </c>
      <c r="P21" s="9" t="n">
        <v>69218.5</v>
      </c>
      <c r="Q21" s="10" t="n">
        <f aca="false">P21/I21</f>
        <v>69218.5</v>
      </c>
      <c r="R21" s="10" t="n">
        <f aca="false">Q21*1.19</f>
        <v>82370.015</v>
      </c>
      <c r="S21" s="11" t="n">
        <f aca="false">R21*D21</f>
        <v>823700.15</v>
      </c>
    </row>
    <row r="22" customFormat="false" ht="55.5" hidden="false" customHeight="true" outlineLevel="0" collapsed="false">
      <c r="A22" s="12" t="n">
        <v>18</v>
      </c>
      <c r="B22" s="13" t="s">
        <v>21</v>
      </c>
      <c r="C22" s="13" t="s">
        <v>125</v>
      </c>
      <c r="D22" s="12" t="n">
        <v>20</v>
      </c>
      <c r="E22" s="13" t="s">
        <v>115</v>
      </c>
      <c r="F22" s="13" t="s">
        <v>126</v>
      </c>
      <c r="G22" s="13" t="s">
        <v>127</v>
      </c>
      <c r="H22" s="13" t="s">
        <v>26</v>
      </c>
      <c r="I22" s="14" t="n">
        <v>1</v>
      </c>
      <c r="J22" s="12" t="s">
        <v>79</v>
      </c>
      <c r="K22" s="13" t="s">
        <v>128</v>
      </c>
      <c r="L22" s="15" t="n">
        <v>648645</v>
      </c>
      <c r="M22" s="16" t="n">
        <f aca="false">L22/I22</f>
        <v>648645</v>
      </c>
      <c r="N22" s="16" t="n">
        <f aca="false">M22*1.19</f>
        <v>771887.55</v>
      </c>
      <c r="O22" s="17" t="n">
        <f aca="false">N22*D22</f>
        <v>15437751</v>
      </c>
      <c r="P22" s="15" t="n">
        <v>843238.5</v>
      </c>
      <c r="Q22" s="16" t="n">
        <f aca="false">P22/I22</f>
        <v>843238.5</v>
      </c>
      <c r="R22" s="16" t="n">
        <f aca="false">Q22*1.19</f>
        <v>1003453.815</v>
      </c>
      <c r="S22" s="17" t="n">
        <f aca="false">R22*D22</f>
        <v>20069076.3</v>
      </c>
    </row>
    <row r="23" customFormat="false" ht="55.5" hidden="false" customHeight="true" outlineLevel="0" collapsed="false">
      <c r="A23" s="18" t="n">
        <v>19</v>
      </c>
      <c r="B23" s="19" t="s">
        <v>21</v>
      </c>
      <c r="C23" s="19" t="s">
        <v>129</v>
      </c>
      <c r="D23" s="18" t="n">
        <v>95</v>
      </c>
      <c r="E23" s="19" t="s">
        <v>130</v>
      </c>
      <c r="F23" s="19" t="s">
        <v>131</v>
      </c>
      <c r="G23" s="19" t="s">
        <v>132</v>
      </c>
      <c r="H23" s="19" t="s">
        <v>133</v>
      </c>
      <c r="I23" s="20" t="n">
        <v>4</v>
      </c>
      <c r="J23" s="18" t="s">
        <v>134</v>
      </c>
      <c r="K23" s="19" t="s">
        <v>135</v>
      </c>
      <c r="L23" s="21" t="n">
        <v>62633</v>
      </c>
      <c r="M23" s="22" t="n">
        <f aca="false">L23/I23</f>
        <v>15658.25</v>
      </c>
      <c r="N23" s="22" t="n">
        <f aca="false">M23*1.19</f>
        <v>18633.3175</v>
      </c>
      <c r="O23" s="23" t="n">
        <f aca="false">N23*D23</f>
        <v>1770165.1625</v>
      </c>
      <c r="P23" s="21" t="n">
        <v>81422.9</v>
      </c>
      <c r="Q23" s="22" t="n">
        <f aca="false">P23/I23</f>
        <v>20355.725</v>
      </c>
      <c r="R23" s="22" t="n">
        <f aca="false">Q23*1.19</f>
        <v>24223.31275</v>
      </c>
      <c r="S23" s="23" t="n">
        <f aca="false">R23*D23</f>
        <v>2301214.71125</v>
      </c>
    </row>
    <row r="24" customFormat="false" ht="55.5" hidden="false" customHeight="true" outlineLevel="0" collapsed="false">
      <c r="A24" s="12" t="n">
        <v>20</v>
      </c>
      <c r="B24" s="13" t="s">
        <v>136</v>
      </c>
      <c r="C24" s="13" t="s">
        <v>137</v>
      </c>
      <c r="D24" s="12" t="n">
        <v>30</v>
      </c>
      <c r="E24" s="13" t="s">
        <v>138</v>
      </c>
      <c r="F24" s="13" t="s">
        <v>139</v>
      </c>
      <c r="G24" s="13" t="s">
        <v>140</v>
      </c>
      <c r="H24" s="13" t="s">
        <v>105</v>
      </c>
      <c r="I24" s="14" t="n">
        <v>6</v>
      </c>
      <c r="J24" s="12" t="s">
        <v>54</v>
      </c>
      <c r="K24" s="13" t="s">
        <v>141</v>
      </c>
      <c r="L24" s="15" t="n">
        <v>43722</v>
      </c>
      <c r="M24" s="16" t="n">
        <f aca="false">L24/I24</f>
        <v>7287</v>
      </c>
      <c r="N24" s="16" t="n">
        <f aca="false">M24*1.19</f>
        <v>8671.53</v>
      </c>
      <c r="O24" s="17" t="n">
        <f aca="false">N24*D24</f>
        <v>260145.9</v>
      </c>
      <c r="P24" s="15" t="n">
        <v>56838.6</v>
      </c>
      <c r="Q24" s="16" t="n">
        <f aca="false">P24/I24</f>
        <v>9473.1</v>
      </c>
      <c r="R24" s="16" t="n">
        <f aca="false">Q24*1.19</f>
        <v>11272.989</v>
      </c>
      <c r="S24" s="17" t="n">
        <f aca="false">R24*D24</f>
        <v>338189.67</v>
      </c>
    </row>
    <row r="25" customFormat="false" ht="55.5" hidden="false" customHeight="true" outlineLevel="0" collapsed="false">
      <c r="A25" s="18" t="n">
        <v>21</v>
      </c>
      <c r="B25" s="19" t="s">
        <v>136</v>
      </c>
      <c r="C25" s="19" t="s">
        <v>142</v>
      </c>
      <c r="D25" s="18" t="n">
        <v>32</v>
      </c>
      <c r="E25" s="19" t="s">
        <v>143</v>
      </c>
      <c r="F25" s="19" t="s">
        <v>144</v>
      </c>
      <c r="G25" s="19" t="s">
        <v>145</v>
      </c>
      <c r="H25" s="19" t="s">
        <v>33</v>
      </c>
      <c r="I25" s="20" t="n">
        <v>6</v>
      </c>
      <c r="J25" s="18" t="s">
        <v>99</v>
      </c>
      <c r="K25" s="19" t="s">
        <v>146</v>
      </c>
      <c r="L25" s="21" t="n">
        <v>34998</v>
      </c>
      <c r="M25" s="22" t="n">
        <f aca="false">L25/I25</f>
        <v>5833</v>
      </c>
      <c r="N25" s="22" t="n">
        <f aca="false">M25*1.19</f>
        <v>6941.27</v>
      </c>
      <c r="O25" s="23" t="n">
        <f aca="false">N25*D25</f>
        <v>222120.64</v>
      </c>
      <c r="P25" s="21" t="n">
        <v>45497.4</v>
      </c>
      <c r="Q25" s="22" t="n">
        <f aca="false">P25/I25</f>
        <v>7582.9</v>
      </c>
      <c r="R25" s="22" t="n">
        <f aca="false">Q25*1.19</f>
        <v>9023.651</v>
      </c>
      <c r="S25" s="23" t="n">
        <f aca="false">R25*D25</f>
        <v>288756.832</v>
      </c>
    </row>
    <row r="26" customFormat="false" ht="55.5" hidden="false" customHeight="true" outlineLevel="0" collapsed="false">
      <c r="A26" s="24" t="n">
        <v>22</v>
      </c>
      <c r="B26" s="25" t="s">
        <v>136</v>
      </c>
      <c r="C26" s="25" t="s">
        <v>147</v>
      </c>
      <c r="D26" s="24" t="n">
        <v>700</v>
      </c>
      <c r="E26" s="25" t="s">
        <v>62</v>
      </c>
      <c r="F26" s="25" t="s">
        <v>63</v>
      </c>
      <c r="G26" s="25" t="s">
        <v>64</v>
      </c>
      <c r="H26" s="25" t="s">
        <v>63</v>
      </c>
      <c r="I26" s="26"/>
      <c r="J26" s="24" t="s">
        <v>65</v>
      </c>
      <c r="K26" s="25" t="s">
        <v>148</v>
      </c>
      <c r="L26" s="27" t="s">
        <v>67</v>
      </c>
      <c r="M26" s="27"/>
      <c r="N26" s="27"/>
      <c r="O26" s="27"/>
      <c r="P26" s="27" t="s">
        <v>67</v>
      </c>
      <c r="Q26" s="27"/>
      <c r="R26" s="27"/>
      <c r="S26" s="27"/>
    </row>
    <row r="27" customFormat="false" ht="55.5" hidden="false" customHeight="true" outlineLevel="0" collapsed="false">
      <c r="A27" s="6" t="n">
        <v>23</v>
      </c>
      <c r="B27" s="7" t="s">
        <v>149</v>
      </c>
      <c r="C27" s="7" t="s">
        <v>150</v>
      </c>
      <c r="D27" s="6" t="n">
        <v>110</v>
      </c>
      <c r="E27" s="7" t="s">
        <v>151</v>
      </c>
      <c r="F27" s="7" t="s">
        <v>152</v>
      </c>
      <c r="G27" s="7" t="s">
        <v>153</v>
      </c>
      <c r="H27" s="7" t="s">
        <v>112</v>
      </c>
      <c r="I27" s="8" t="n">
        <v>1</v>
      </c>
      <c r="J27" s="6" t="s">
        <v>154</v>
      </c>
      <c r="K27" s="7" t="s">
        <v>155</v>
      </c>
      <c r="L27" s="9" t="n">
        <v>4338</v>
      </c>
      <c r="M27" s="10" t="n">
        <f aca="false">L27/I27</f>
        <v>4338</v>
      </c>
      <c r="N27" s="10" t="n">
        <f aca="false">M27*1.19</f>
        <v>5162.22</v>
      </c>
      <c r="O27" s="11" t="n">
        <f aca="false">N27*D27</f>
        <v>567844.2</v>
      </c>
      <c r="P27" s="9" t="n">
        <v>5639.4</v>
      </c>
      <c r="Q27" s="10" t="n">
        <f aca="false">P27/I27</f>
        <v>5639.4</v>
      </c>
      <c r="R27" s="10" t="n">
        <f aca="false">Q27*1.19</f>
        <v>6710.886</v>
      </c>
      <c r="S27" s="11" t="n">
        <f aca="false">R27*D27</f>
        <v>738197.46</v>
      </c>
    </row>
    <row r="28" customFormat="false" ht="55.5" hidden="false" customHeight="true" outlineLevel="0" collapsed="false">
      <c r="A28" s="12" t="n">
        <v>24</v>
      </c>
      <c r="B28" s="13" t="s">
        <v>149</v>
      </c>
      <c r="C28" s="13" t="s">
        <v>156</v>
      </c>
      <c r="D28" s="12" t="n">
        <v>140</v>
      </c>
      <c r="E28" s="13" t="s">
        <v>157</v>
      </c>
      <c r="F28" s="13" t="s">
        <v>158</v>
      </c>
      <c r="G28" s="13" t="s">
        <v>159</v>
      </c>
      <c r="H28" s="13" t="s">
        <v>160</v>
      </c>
      <c r="I28" s="14" t="n">
        <v>12</v>
      </c>
      <c r="J28" s="12" t="s">
        <v>85</v>
      </c>
      <c r="K28" s="13" t="s">
        <v>161</v>
      </c>
      <c r="L28" s="15" t="n">
        <v>19278</v>
      </c>
      <c r="M28" s="16" t="n">
        <f aca="false">L28/I28</f>
        <v>1606.5</v>
      </c>
      <c r="N28" s="16" t="n">
        <f aca="false">M28*1.19</f>
        <v>1911.735</v>
      </c>
      <c r="O28" s="17" t="n">
        <f aca="false">N28*D28</f>
        <v>267642.9</v>
      </c>
      <c r="P28" s="15" t="n">
        <v>25061.4</v>
      </c>
      <c r="Q28" s="16" t="n">
        <f aca="false">P28/I28</f>
        <v>2088.45</v>
      </c>
      <c r="R28" s="16" t="n">
        <f aca="false">Q28*1.19</f>
        <v>2485.2555</v>
      </c>
      <c r="S28" s="17" t="n">
        <f aca="false">R28*D28</f>
        <v>347935.77</v>
      </c>
    </row>
    <row r="29" customFormat="false" ht="55.5" hidden="false" customHeight="true" outlineLevel="0" collapsed="false">
      <c r="A29" s="6" t="n">
        <v>25</v>
      </c>
      <c r="B29" s="7" t="s">
        <v>149</v>
      </c>
      <c r="C29" s="7" t="s">
        <v>162</v>
      </c>
      <c r="D29" s="6" t="n">
        <v>50</v>
      </c>
      <c r="E29" s="7" t="s">
        <v>163</v>
      </c>
      <c r="F29" s="7" t="s">
        <v>164</v>
      </c>
      <c r="G29" s="7" t="s">
        <v>165</v>
      </c>
      <c r="H29" s="7" t="s">
        <v>98</v>
      </c>
      <c r="I29" s="8" t="n">
        <v>1</v>
      </c>
      <c r="J29" s="6" t="s">
        <v>134</v>
      </c>
      <c r="K29" s="7" t="s">
        <v>166</v>
      </c>
      <c r="L29" s="9" t="n">
        <v>19294</v>
      </c>
      <c r="M29" s="10" t="n">
        <f aca="false">L29/I29</f>
        <v>19294</v>
      </c>
      <c r="N29" s="10" t="n">
        <f aca="false">M29*1.19</f>
        <v>22959.86</v>
      </c>
      <c r="O29" s="11" t="n">
        <f aca="false">N29*D29</f>
        <v>1147993</v>
      </c>
      <c r="P29" s="9" t="n">
        <v>25082.2</v>
      </c>
      <c r="Q29" s="10" t="n">
        <f aca="false">P29/I29</f>
        <v>25082.2</v>
      </c>
      <c r="R29" s="10" t="n">
        <f aca="false">Q29*1.19</f>
        <v>29847.818</v>
      </c>
      <c r="S29" s="11" t="n">
        <f aca="false">R29*D29</f>
        <v>1492390.9</v>
      </c>
    </row>
    <row r="30" customFormat="false" ht="21.75" hidden="false" customHeight="true" outlineLevel="0" collapsed="false">
      <c r="A30" s="28" t="s">
        <v>167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9"/>
      <c r="M30" s="29"/>
      <c r="N30" s="29"/>
      <c r="O30" s="30" t="n">
        <f aca="false">SUM(O5:O29)</f>
        <v>28604801.6158333</v>
      </c>
      <c r="P30" s="29"/>
      <c r="Q30" s="29"/>
      <c r="R30" s="29"/>
      <c r="S30" s="30" t="n">
        <f aca="false">SUM(S5:S29)</f>
        <v>37186242.1005833</v>
      </c>
    </row>
    <row r="32" customFormat="false" ht="15" hidden="false" customHeight="false" outlineLevel="0" collapsed="false">
      <c r="A32" s="31" t="s">
        <v>168</v>
      </c>
      <c r="B32" s="31"/>
      <c r="C32" s="31"/>
      <c r="D32" s="31"/>
      <c r="E32" s="32" t="n">
        <v>15000000</v>
      </c>
    </row>
    <row r="33" customFormat="false" ht="15" hidden="false" customHeight="false" outlineLevel="0" collapsed="false">
      <c r="A33" s="31" t="s">
        <v>169</v>
      </c>
      <c r="B33" s="31"/>
      <c r="C33" s="31"/>
      <c r="D33" s="31"/>
      <c r="E33" s="33" t="n">
        <f aca="false">S30</f>
        <v>37186242.1005833</v>
      </c>
    </row>
    <row r="34" customFormat="false" ht="15" hidden="false" customHeight="false" outlineLevel="0" collapsed="false">
      <c r="A34" s="31" t="s">
        <v>170</v>
      </c>
      <c r="B34" s="31"/>
      <c r="C34" s="31"/>
      <c r="D34" s="31"/>
      <c r="E34" s="34" t="n">
        <f aca="false">E32-E33</f>
        <v>-22186242.1005833</v>
      </c>
    </row>
    <row r="35" customFormat="false" ht="15" hidden="false" customHeight="false" outlineLevel="0" collapsed="false">
      <c r="A35" s="31" t="s">
        <v>171</v>
      </c>
      <c r="B35" s="31"/>
      <c r="C35" s="31"/>
      <c r="D35" s="31"/>
      <c r="E35" s="35" t="n">
        <f aca="false">E33/E32</f>
        <v>2.47908280670556</v>
      </c>
    </row>
    <row r="36" customFormat="false" ht="15" hidden="false" customHeight="false" outlineLevel="0" collapsed="false">
      <c r="A36" s="31" t="s">
        <v>172</v>
      </c>
      <c r="B36" s="31"/>
      <c r="C36" s="31"/>
      <c r="D36" s="31"/>
      <c r="E36" s="33" t="n">
        <f aca="false">S30-O30</f>
        <v>8581440.48475</v>
      </c>
    </row>
    <row r="38" customFormat="false" ht="15" hidden="false" customHeight="false" outlineLevel="0" collapsed="false">
      <c r="A38" s="36" t="s">
        <v>173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</row>
    <row r="39" customFormat="false" ht="25.5" hidden="false" customHeight="true" outlineLevel="0" collapsed="false">
      <c r="A39" s="37" t="s">
        <v>174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</row>
    <row r="40" customFormat="false" ht="25.5" hidden="false" customHeight="true" outlineLevel="0" collapsed="false">
      <c r="A40" s="37" t="s">
        <v>175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</row>
    <row r="41" customFormat="false" ht="25.5" hidden="false" customHeight="true" outlineLevel="0" collapsed="false">
      <c r="A41" s="37" t="s">
        <v>176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</row>
    <row r="42" customFormat="false" ht="25.5" hidden="false" customHeight="true" outlineLevel="0" collapsed="false">
      <c r="A42" s="37" t="s">
        <v>177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</row>
    <row r="43" customFormat="false" ht="25.5" hidden="false" customHeight="true" outlineLevel="0" collapsed="false">
      <c r="A43" s="37" t="s">
        <v>178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</row>
    <row r="44" customFormat="false" ht="25.5" hidden="false" customHeight="true" outlineLevel="0" collapsed="false">
      <c r="A44" s="37" t="s">
        <v>179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</row>
    <row r="45" customFormat="false" ht="25.5" hidden="false" customHeight="true" outlineLevel="0" collapsed="false">
      <c r="A45" s="37" t="s">
        <v>180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</row>
    <row r="46" customFormat="false" ht="25.5" hidden="false" customHeight="true" outlineLevel="0" collapsed="false">
      <c r="A46" s="37" t="s">
        <v>181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</row>
    <row r="47" customFormat="false" ht="25.5" hidden="false" customHeight="true" outlineLevel="0" collapsed="false">
      <c r="A47" s="37" t="s">
        <v>182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</row>
    <row r="48" customFormat="false" ht="25.5" hidden="false" customHeight="true" outlineLevel="0" collapsed="false">
      <c r="A48" s="37" t="s">
        <v>183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</row>
  </sheetData>
  <mergeCells count="20">
    <mergeCell ref="A1:S1"/>
    <mergeCell ref="A2:S2"/>
    <mergeCell ref="A30:K30"/>
    <mergeCell ref="P30:R30"/>
    <mergeCell ref="A32:D32"/>
    <mergeCell ref="A33:D33"/>
    <mergeCell ref="A34:D34"/>
    <mergeCell ref="A35:D35"/>
    <mergeCell ref="A36:D36"/>
    <mergeCell ref="A38:S38"/>
    <mergeCell ref="A39:S39"/>
    <mergeCell ref="A40:S40"/>
    <mergeCell ref="A41:S41"/>
    <mergeCell ref="A42:S42"/>
    <mergeCell ref="A43:S43"/>
    <mergeCell ref="A44:S44"/>
    <mergeCell ref="A45:S45"/>
    <mergeCell ref="A46:S46"/>
    <mergeCell ref="A47:S47"/>
    <mergeCell ref="A48:S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2026-09-04T15:24:02Z</dcterms:created>
  <dc:creator>openpyxl</dc:creator>
  <dc:description/>
  <dc:language>en-US</dc:language>
  <cp:lastModifiedBy/>
  <dcterms:modified xsi:type="dcterms:W3CDTF">2026-09-04T15:24:02Z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