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uancarloscontreras/Desktop/"/>
    </mc:Choice>
  </mc:AlternateContent>
  <xr:revisionPtr revIDLastSave="0" documentId="8_{86D1A762-9F8D-D841-B840-A3F4744ADB7D}" xr6:coauthVersionLast="47" xr6:coauthVersionMax="47" xr10:uidLastSave="{00000000-0000-0000-0000-000000000000}"/>
  <bookViews>
    <workbookView xWindow="0" yWindow="0" windowWidth="28800" windowHeight="18000" xr2:uid="{83F56BD2-46D4-495E-9FF0-68A32AE53487}"/>
  </bookViews>
  <sheets>
    <sheet name="Distribuidores Vistony Chile" sheetId="1" r:id="rId1"/>
  </sheets>
  <definedNames>
    <definedName name="_xlnm._FilterDatabase" localSheetId="0" hidden="1">'Distribuidores Vistony Chile'!$A$2:$I$187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87" i="1" l="1"/>
  <c r="K187" i="1" s="1"/>
  <c r="J186" i="1"/>
  <c r="K186" i="1" s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3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<sst xmlns="http://schemas.openxmlformats.org/spreadsheetml/2006/main" count="627" uniqueCount="307">
  <si>
    <t>URL</t>
  </si>
  <si>
    <t>ITEM</t>
  </si>
  <si>
    <t>FAMILIA</t>
  </si>
  <si>
    <t>IMAGEN REFERENCIAL</t>
  </si>
  <si>
    <t>CÓDIGO</t>
  </si>
  <si>
    <t>DESCRIPCIÓN</t>
  </si>
  <si>
    <t>FORMATO/CANTIDAD</t>
  </si>
  <si>
    <t>https://vistony.pe/wp-content/uploads/2025/05/VOLTEK-1.webp</t>
  </si>
  <si>
    <t>UTTO, STUO Y THF</t>
  </si>
  <si>
    <t>BAL TRAKOIL 10W30 DE 5 GAL</t>
  </si>
  <si>
    <t>BALDE</t>
  </si>
  <si>
    <t>CIL TRAKOIL 10W30 DE 5 GAL</t>
  </si>
  <si>
    <t>CILINDRO</t>
  </si>
  <si>
    <t>https://vistony.pe/wp-content/uploads/2025/10/airblue.png</t>
  </si>
  <si>
    <t>UREA AUTOMOTRIZ</t>
  </si>
  <si>
    <t>BAL AIRBLUE DEF DE 20 L</t>
  </si>
  <si>
    <t>CIL AIRBLUE - UREA AUTOMOTRIZ DE 208 L</t>
  </si>
  <si>
    <t>IBC AIRBLUE - UREA AUTOMOTRIZ DE 1000 L</t>
  </si>
  <si>
    <t>IBC</t>
  </si>
  <si>
    <t>https://vistony.pe/wp-content/uploads/2025/10/GEAR-OIL.png</t>
  </si>
  <si>
    <t>TRANSMISIÓN MECANICA</t>
  </si>
  <si>
    <t>CIL GEAR OIL GL-5 SAE 80W90 DE 55 GL</t>
  </si>
  <si>
    <t>https://vistony.pe/wp-content/uploads/2025/05/TRANSMEC-SYNTHETIC.png</t>
  </si>
  <si>
    <t>CAJ12 TRANSMEC SYNTHETIC API GL-4 SAE 75W90 DE 1L</t>
  </si>
  <si>
    <t>https://vistony.pe/wp-content/uploads/2025/10/GEAR-OIL-SYNTHETIC-1.png</t>
  </si>
  <si>
    <t>CAJ12 GEAR OIL SYNTHETIC API GL-5 SAE J2360 75W-90 DE 1L</t>
  </si>
  <si>
    <t>CAJ12 GEAR OIL GL-5 SAE 85W140 DE 0.946 LT</t>
  </si>
  <si>
    <t>CAJ12 GEAR OIL GL-5 SAE 80W90 DE 0.946 LT</t>
  </si>
  <si>
    <t>https://vistony.pe/wp-content/uploads/2025/10/GEAR-OIL-1.png</t>
  </si>
  <si>
    <t>CAJ06 GEAR OIL GL-5 SAE 80W90 DE 1 GAL</t>
  </si>
  <si>
    <t>BAL TRANSMEC SYNTHETIC API GL-4 SAE 75W90 DE 5 GAL</t>
  </si>
  <si>
    <t>BAL GEAR OIL GL-5 SAE 80W90 DE 5 GL</t>
  </si>
  <si>
    <t>BAL GEAR OIL GL-5 SAE 75W90 DE 5 GL</t>
  </si>
  <si>
    <t>https://vistony.pe/wp-content/uploads/2025/05/BRIKSON-HD-SYNTH-ATF-A8.png</t>
  </si>
  <si>
    <t>TRANSMISIÓN AUTOMATICA</t>
  </si>
  <si>
    <t>CIL BRIKSON HD SYNTH ATF A8 DE 55 GAL</t>
  </si>
  <si>
    <t>https://vistony.pe/wp-content/uploads/2025/05/ATF-BRIKSON-MD-III.png</t>
  </si>
  <si>
    <t>CIL ATF BRIKSON III DE 55 GAL</t>
  </si>
  <si>
    <t>https://vistony.pe/wp-content/uploads/2025/05/ATF_tipoF.png</t>
  </si>
  <si>
    <t>CAJ12 TRANSMISION AUTOMATICA - ATF DE 1/4 GL</t>
  </si>
  <si>
    <t>https://vistony.pe/wp-content/uploads/2025/05/BRIKSON-ATF-SYNTH.png</t>
  </si>
  <si>
    <t>CAJ12 BRIKSON ATF SYNTH MULTIVEHICULO DE 1L</t>
  </si>
  <si>
    <t>https://vistony.pe/wp-content/uploads/2025/10/BRIKSON-CVT-UNIVERSAL.png</t>
  </si>
  <si>
    <t>CAJ12 BRIKSON ATF CVT DE 1L</t>
  </si>
  <si>
    <t>https://vistony.pe/wp-content/uploads/2025/10/BRIKSON-ATF-MDIII.png</t>
  </si>
  <si>
    <t>CAJ12 ATF BRIKSON III DE 1/4 GAL</t>
  </si>
  <si>
    <t>CAJ06 TRANSMISION AUTOMATICA - ATF DE GLN</t>
  </si>
  <si>
    <t>CAJ06 ATF BRIKSON III DE GAL</t>
  </si>
  <si>
    <t>BAL TRANSMISION AUTOMATICA - ATF DE 5 GL</t>
  </si>
  <si>
    <t>BAL ATF BRIKSON III DE 5 GAL</t>
  </si>
  <si>
    <t>https://vistony.pe/wp-content/uploads/2025/05/MAX-GREY.png</t>
  </si>
  <si>
    <t>SILICONA MOTOR</t>
  </si>
  <si>
    <t>CAJ12 SILICONA RTV COLOR GREASE 85 GR</t>
  </si>
  <si>
    <t>https://vistony.pe/wp-content/uploads/2025/10/LIQUIDO-RADIADOR-VERDE.png</t>
  </si>
  <si>
    <t>REFRIGERANTE RELLENO</t>
  </si>
  <si>
    <t>CAJ06 LIQUIDO PARA RADIADOR VERDE DE 1 GAL</t>
  </si>
  <si>
    <t>https://vistony.pe/wp-content/uploads/2025/10/LIQUIDO-RADIADOR-ROJO.png</t>
  </si>
  <si>
    <t>CAJ06 LIQUIDO PARA RADIADOR ROJO - 1 GAL</t>
  </si>
  <si>
    <t>BAL LIQUIDO PARA RADIADOR VERDE 5 GL</t>
  </si>
  <si>
    <t>https://vistony.pe/wp-content/uploads/2025/05/MUTURROL.png</t>
  </si>
  <si>
    <t>REFRIGERANTE PARA CORTE</t>
  </si>
  <si>
    <t>CIL MUTURROL DE 55 GAL</t>
  </si>
  <si>
    <t>BAL MUTURROL DE 5 GAL</t>
  </si>
  <si>
    <t>https://vistony.pe/wp-content/uploads/2025/10/ICE-FREEZE-HEAVYE-DUTY.png</t>
  </si>
  <si>
    <t>REFRIGERANTE</t>
  </si>
  <si>
    <t>CIL COOLANT ICE HEAVY-DUTY HYBRID (NOAT) 50/50 EXTENDED LIFE RED DE 55 GL</t>
  </si>
  <si>
    <t>https://vistony.pe/wp-content/uploads/2025/10/ICE-REEZE-50-50-GREEN.png</t>
  </si>
  <si>
    <t>CIL COOLANT ICE FREEZE ORGANICO (OAT) 50/50 COLOR VERDE DE 55 GL</t>
  </si>
  <si>
    <t>https://vistonylubricantes.cl/wp-content/uploads/2025/10/ICE-FREEZE-GM-PLUS-1.png</t>
  </si>
  <si>
    <t>CAJ06 ICE FREEZE GMPLUS 50/50 ORANGE DE 1 GAL</t>
  </si>
  <si>
    <t xml:space="preserve">CAJ06 COOLANT ICE HEAVY-DUTY HYBRIDO (NOAT) 50/50 EXTENDED LIFE RED </t>
  </si>
  <si>
    <t>https://vistony.pe/wp-content/uploads/2025/10/ICE-FREEZE-50-50-FUCHSIA.png</t>
  </si>
  <si>
    <t>CAJ06 COOLANT ICE FREEZE ORGANICO (OAT) 50/50 LONG LIFE FUCHSIA DE 4L</t>
  </si>
  <si>
    <t>https://vistony.pe/wp-content/uploads/2025/10/ICE-FREEZE-33.png</t>
  </si>
  <si>
    <t>CAJ06 COOLANT ICE FREEZE ORGANICO (OAT) 33% GREEN DE 1 GL</t>
  </si>
  <si>
    <t>CAJ06 COOLANT ICE FREEZE ORGANIC (OAT) 50/50 GREEN - 5 IDIOMAS DE 4L</t>
  </si>
  <si>
    <t>https://vistonylubricantes.cl/wp-content/uploads/2025/10/ICE-FREEZE-ROSA.png</t>
  </si>
  <si>
    <t>CAJ04 COOLANT ICE FREEZE SI-ORGANICO (SI OAT) G12++ 50/50 COLOR ROSA 5L</t>
  </si>
  <si>
    <t>BAL COOLANT ICE HEAVY-DUTY HYBRID (NOAT) 50/50 EXTENDED LIFE RED DE 5 GL</t>
  </si>
  <si>
    <t>https://vistonylubricantes.cl/wp-content/uploads/2025/05/VOLTEK-1.webp</t>
  </si>
  <si>
    <t>MOTOR PESADO</t>
  </si>
  <si>
    <t>CIL VOLTEK SAE 10W40 API CK-4 DE 55 GAL</t>
  </si>
  <si>
    <t>CIL FORZA TRUCK SAE 20W-50 DE 55 GAL</t>
  </si>
  <si>
    <t>CIL FORZA RAYGOLD SAE 15W40 API CK-4 DE 55 GAL</t>
  </si>
  <si>
    <t>https://vistonylubricantes.cl/wp-content/uploads/2025/10/FORZA-PLUS-1.png</t>
  </si>
  <si>
    <t>CIL FORZA PLUS  SAE 15W40  DE 55 GAL</t>
  </si>
  <si>
    <t>CAJ12 FORZA PLUS  SAE 15W40  DE 1/4 GAL</t>
  </si>
  <si>
    <t>CAJ06 FORZA PLUS  SAE 15W40  DE 1 GAL</t>
  </si>
  <si>
    <t>BAL VOLTEK C300 SAE 5W40 API CK-4 DE 5 GAL</t>
  </si>
  <si>
    <t>BAL VOLTEK C300 SAE 10W40 API CK-4 DE 5 GAL</t>
  </si>
  <si>
    <t>BAL FORZA TRUCK SAE 20W-50 5GL</t>
  </si>
  <si>
    <t>https://vistonylubricantes.cl/wp-content/uploads/2025/10/FORZA-RAYGOLD-1.png</t>
  </si>
  <si>
    <t>BAL FORZA RAYGOLD SAE 15W40 API CK-4 DE 5 GAL</t>
  </si>
  <si>
    <t>BAL FORZA PLUS  SAE 15W40  DE 5 GAL</t>
  </si>
  <si>
    <t>https://vistony.pe/wp-content/uploads/2025/10/FORZA-ADVANCED-1.png</t>
  </si>
  <si>
    <t>BAL FORZA ADVANCED SAE 15W40 DE 5 DE GAL</t>
  </si>
  <si>
    <t>CIL FORZA ADVANCED  SAE  15W40 DE 55 DE GAL</t>
  </si>
  <si>
    <t>https://vistony.pe/wp-content/uploads/2025/10/SINTEK-S210.png</t>
  </si>
  <si>
    <t>MOTOR LIVIANO</t>
  </si>
  <si>
    <t>CIL SINTEK OIL S210 SAE 10W40 ACEA A3/B4 API SN DE 55 GL</t>
  </si>
  <si>
    <t>https://vistony.pe/wp-content/uploads/2025/10/ATTOM-S320.png</t>
  </si>
  <si>
    <t>CIL ATTOM S320 SAE 5W30 ACEA C3/API SN DE 55 GL</t>
  </si>
  <si>
    <t>CAJ12 SINTEK OIL S 210 SAE 10W40 ACEA A3/B4 - API SN DE 1L</t>
  </si>
  <si>
    <t>CAJ12 SINTEK OIL S 210 SAE 10W30  ACEA A3/B4 - API SN  DE 1L</t>
  </si>
  <si>
    <t>https://vistonylubricantes.cl/wp-content/uploads/2025/10/BLINDAX-SUPER.png</t>
  </si>
  <si>
    <t>CAJ12 BLINDAX SUPER 20W50 API SN DE 1/4 GAL</t>
  </si>
  <si>
    <t>CAJ12 BLINDAX S-CLASS SAE 20W-50 API SG DE 1L</t>
  </si>
  <si>
    <t>CAJ12 BLINDAX DUO SAE 10W40 DE 1 LT</t>
  </si>
  <si>
    <t>https://encrypted-tbn0.gstatic.com/images?q=tbn:ANd9GcSUs93dZR1NaMNK5rXIIv94ilCT9ZygYnFVtxaT46_aaQ&amp;s=10</t>
  </si>
  <si>
    <t>CAJ12 ATTOM S420 SAE 0W-20 DE 1L</t>
  </si>
  <si>
    <t>CAJ12 ATTOM S320 SAE 5W30 ACEA C3/API SN DE 1L</t>
  </si>
  <si>
    <t>CAJ06 BLINDAX SUPER 20W50 API SN DE 1 GAL</t>
  </si>
  <si>
    <t>CAJ06 BLINDAX S-CLASS SAE 20W-50 API SG DE 4L</t>
  </si>
  <si>
    <t>CAJ06 BLINDAX DUO SAE 10W40 DE 4 LT</t>
  </si>
  <si>
    <t>CAJ04 SINTEK OIL S 210 SAE 10W40 ACEA A3/B4 - API SN DE 4L</t>
  </si>
  <si>
    <t>CAJ04 SINTEK OIL S 210 SAE 10W30  ACEA A3/B4 - API SN DE 4L</t>
  </si>
  <si>
    <t>CAJ04 ATTOM S420 SAE 0W-20 DE 5L</t>
  </si>
  <si>
    <t>https://vistony.pe/wp-content/uploads/2025/10/ATTOM-S400.png</t>
  </si>
  <si>
    <t>CAJ04 ATTOM S400 SAE 5W30 API SQ DE 4L</t>
  </si>
  <si>
    <t>CAJ04 ATTOM S320 SAE 5W-30 ACEA C3/API SN DE 5 L</t>
  </si>
  <si>
    <t>https://vistony.pe/wp-content/uploads/2025/10/ATTOM-S310.png</t>
  </si>
  <si>
    <t>CAJ12 ATTOM S310 SAE 5W30  ACEA A3/B4 - API SN DE 1L</t>
  </si>
  <si>
    <t>https://vistony.pe/wp-content/uploads/2025/10/J800.png</t>
  </si>
  <si>
    <t>MOTO 4T ESTER</t>
  </si>
  <si>
    <t>CAJ06 RAYVON 4T J8000 SAE 20W-50 DE 1L</t>
  </si>
  <si>
    <t>CAJ06 RAYVON 4T J8000 SAE 10W-40 DE 1L</t>
  </si>
  <si>
    <t>https://vistony.pe/wp-content/uploads/2025/05/RAYVON-4T-J6000.png</t>
  </si>
  <si>
    <t>CAJ06 RAYVON 4T J6000 SAE 15W-50 DE 1L</t>
  </si>
  <si>
    <t>CAJ06 RAYVON 4T J6000 SAE 10W-40 DE 1L</t>
  </si>
  <si>
    <t>https://vistony.pe/wp-content/uploads/2025/10/SINTEK-RAYVON-1.png</t>
  </si>
  <si>
    <t>MOTO 4T</t>
  </si>
  <si>
    <t>CAJ12 SINTEK OIL RAYVON 4T SAE 10W40 JASO MA2 DE 1L</t>
  </si>
  <si>
    <t>CAJ12 SINTEK OIL RAYVON 4T 20W50 DE 1 L</t>
  </si>
  <si>
    <t>https://vistony.pe/wp-content/uploads/2025/10/RAYVON-SUPER-1.png</t>
  </si>
  <si>
    <t>CAJ12 RAYVON SUPER 4T 20W50 API SM JASO MA2 DE 1 L</t>
  </si>
  <si>
    <t>https://vistony.pe/wp-content/uploads/2025/05/RAYVON-4T-SCOOTER-ST-10W-40.png</t>
  </si>
  <si>
    <t>CAJ12 RAYVON 4T SCOOTER ST SAE 10W40 DE 1LT</t>
  </si>
  <si>
    <t>https://vistony.pe/wp-content/uploads/2025/10/ATTOM-RAYVON-1.png</t>
  </si>
  <si>
    <t>CAJ12 ATTOM RAYVON 4T 15W50  API SN JASO MA2 DE 1 LT</t>
  </si>
  <si>
    <t>CAJ12 SINTEK OIL RAYVON 4T 15W50  API SM JASO MA2 DE 1 L</t>
  </si>
  <si>
    <t>https://vistony.pe/wp-content/uploads/2025/05/RAYVON-FORKOIL-10W.png</t>
  </si>
  <si>
    <t>MOTO</t>
  </si>
  <si>
    <t>CAJ12 RAYVON FORK OIL 10W DE 1L</t>
  </si>
  <si>
    <t>https://vistony.pe/wp-content/uploads/2025/05/AGROX-2T.png</t>
  </si>
  <si>
    <t>LUBRICANTE 2T</t>
  </si>
  <si>
    <t>CAJ12 AGROX 2T SYNTHETIC DE 1L</t>
  </si>
  <si>
    <t>https://vistony.pe/wp-content/uploads/2025/05/RAYVON-SUPER-2T.png</t>
  </si>
  <si>
    <t>CAJ30 RAYVON SUPER 2T ROJO DE 1/8 GL</t>
  </si>
  <si>
    <t>CIL AGROX 2T SYNTHETIC DE 55 GL</t>
  </si>
  <si>
    <t>https://vistony.pe/wp-content/uploads/2025/05/DOT_4.png</t>
  </si>
  <si>
    <t>LIQUIDO DE FRENOS</t>
  </si>
  <si>
    <t>CAJ24 LIQUIDO PARA FRENO DOT- 4 DE 8 ONZ</t>
  </si>
  <si>
    <t>CAJ24 LIQUIDO PARA FRENO DOT- 4 DE 12 ONZ</t>
  </si>
  <si>
    <t>https://vistony.pe/wp-content/uploads/2025/05/DOT-3.png</t>
  </si>
  <si>
    <t>CAJ24 LIQUIDO PARA FRENO DOT - 3 DE 8 ONZ</t>
  </si>
  <si>
    <t>CAJ24 LIQUIDO PARA FRENO DOT - 3 DE 12 ONZ</t>
  </si>
  <si>
    <t>CAJ12 LIQUIDO PARA FRENO DOT- 4 DE 8 ONZ</t>
  </si>
  <si>
    <t>CAJ12 LIQUIDO PARA FRENO DOT- 4 DE 12 ONZ</t>
  </si>
  <si>
    <t>CAJ12 LIQUIDO PARA FRENO DOT - 3 DE 8 ONZ</t>
  </si>
  <si>
    <t>CAJ12 LIQUIDO PARA FRENO DOT - 3 DE 12 ONZ</t>
  </si>
  <si>
    <t>CAJ12 LIQUIDO PARA FRENO DOT - 3 DE 1 LT</t>
  </si>
  <si>
    <t>https://vistony.pe/wp-content/uploads/2025/05/DOT-4-PARA-MOTOS.png</t>
  </si>
  <si>
    <t>CAJ12 LIQUIDO DE FRENOS DOT-4 PARA MOTO DE 8 OZ</t>
  </si>
  <si>
    <t>HIDRAULICO CAT</t>
  </si>
  <si>
    <t>BAL DRAULACAT TO-4 SAE 10W DE 5 GL</t>
  </si>
  <si>
    <t>HIDRAULICO</t>
  </si>
  <si>
    <t>CIL DRAULA H46 DE 55 GAL</t>
  </si>
  <si>
    <t>CIL DRAULA H 68 DE 55GL</t>
  </si>
  <si>
    <t>BAL DRAULA H 68 DE 5 GL</t>
  </si>
  <si>
    <t>BAL DRAULA H 46 DE 5 GAL</t>
  </si>
  <si>
    <t>BAL DRAULA H 32 DE 5 GAL</t>
  </si>
  <si>
    <t>CIL DRAULA H32 DE 55 GAL</t>
  </si>
  <si>
    <t>LIT DRAULA H 68 1000 L</t>
  </si>
  <si>
    <t>HERRAMIENTAS NEUMATICAS</t>
  </si>
  <si>
    <t>BAL ROCKDUR OIL 100 DE 5 GL</t>
  </si>
  <si>
    <t>https://vistony.pe/wp-content/uploads/2025/05/WHITE-LITHIUM-GREASE-1.png</t>
  </si>
  <si>
    <t>GRASA SPRAY</t>
  </si>
  <si>
    <t>CAJ12 GRASA LITHIUM WHITE DE 10 ONZ/296 ML</t>
  </si>
  <si>
    <t>GRASA</t>
  </si>
  <si>
    <t>CIL COMPLEX MOLY NLGI 2 DE 400 LB</t>
  </si>
  <si>
    <t>https://vistonylubricantes.cl/wp-content/uploads/2025/05/COMPLEJO-DE-LITIO.png</t>
  </si>
  <si>
    <t>CIL COMPLEJO DE LITIO NLGI 2 DE 400 LIBRAS</t>
  </si>
  <si>
    <t>https://vistonylubricantes.cl/wp-content/uploads/2025/05/GRASA-GRAFITADA.png</t>
  </si>
  <si>
    <t>CAJ24 GRAFITADA PARA PALIERES DE 453 GRS</t>
  </si>
  <si>
    <t>CAJ24 GRAFITADA PARA PALIERES DE 210 GRS</t>
  </si>
  <si>
    <t>https://vistonylubricantes.cl/wp-content/uploads/2025/05/GRASA-EP-LITHIUM.png</t>
  </si>
  <si>
    <t>CAJ24 EP-2 LITHIUM MULTIPROPOSITO ROJO DE 453 GRS</t>
  </si>
  <si>
    <t>CAJ24 EP-2 LITHIUM MULTIPROPOSITO ROJO DE 210 GRS</t>
  </si>
  <si>
    <t>CAJ24 EP-2 LITHIUM MULTIPROPOSITO AMARILLO DE 453 GRS</t>
  </si>
  <si>
    <t>CAJ12 EP-2 LITHIUM MULTIPROPOSITO AMARILLO DE 210 GRS</t>
  </si>
  <si>
    <t>CAJ12 COMPLEJO DE LITIO NLGI 2 DE 453 GRS</t>
  </si>
  <si>
    <t>https://vistony.pe/wp-content/uploads/2025/05/MOLIBDENO-LITHIUM-EP-2-1.png</t>
  </si>
  <si>
    <t>BAL MOLIBDENO LITHIUM EP2 DE 35 LIBRAS</t>
  </si>
  <si>
    <t>BAL COMPLEJO DE LITIO NLGI 2 DE 16 KG</t>
  </si>
  <si>
    <t>CAJ12 GRAFITADA PARA PALIERES DE 210 GRS</t>
  </si>
  <si>
    <t>BAL EP-2 LITHIUM MULTIPROPOSITO AMARILLO DE 35 LIBRAS</t>
  </si>
  <si>
    <t>BAL GRAFITADA PARA PALIERES DE 35 LIBRAS</t>
  </si>
  <si>
    <t>BAL EP-2 LITHIUM MULTIPROPOSITO ROJO DE 35 LIBRAS</t>
  </si>
  <si>
    <t>https://vistonylubricantes.cl/wp-content/uploads/2025/05/GRASA-CHASIS-SUPER-H.png</t>
  </si>
  <si>
    <t>BAL CHASIS SUPER H-2 ROJO DE 35 LIBRAS</t>
  </si>
  <si>
    <t>BAL CHASIS SUPER H-2 NEGRA DE 35 LIBRAS</t>
  </si>
  <si>
    <t>https://vistony.pe/wp-content/uploads/2025/10/AQUAOIL-4T-ELITE-1.png</t>
  </si>
  <si>
    <t>FUERA DE BORDA 4T</t>
  </si>
  <si>
    <t>CAJ04 AQUAOIL 4T ELITE SAE 10W-40 DE 4L</t>
  </si>
  <si>
    <t>https://vistonylubricantes.cl/wp-content/uploads/2025/10/AQUAOIL-SUPER-2T.png</t>
  </si>
  <si>
    <t>FUERA DE BORDA 2T</t>
  </si>
  <si>
    <t>CAJ30 AQUAOIL SUPER 2T TC-W3 DE 1/8 GL</t>
  </si>
  <si>
    <t>CAJ12 AQUAOIL SUPER 2T TC-W3 DE 1/4 GL</t>
  </si>
  <si>
    <t>CAJ06 AQUAOIL SUPER 2T TC-W3 DE 1 GL</t>
  </si>
  <si>
    <t>CILINDRO DE AQUAOIL 2T</t>
  </si>
  <si>
    <t>COMPRESOR</t>
  </si>
  <si>
    <t>BAL AIR COMPRESSOR OIL 100 DE 5 GL</t>
  </si>
  <si>
    <t>CAJ12 AIR COMPRESSOR OIL  ISO 46 DE 1/4 GL</t>
  </si>
  <si>
    <t>BAL AIR COMPRESSOR OIL  ISO 46 DE 5 GL</t>
  </si>
  <si>
    <t>https://vistony.pe/wp-content/uploads/2025/05/LIMPIADOR-DE-CUERO.png</t>
  </si>
  <si>
    <t>CAR CARE PREMIUM</t>
  </si>
  <si>
    <t>CAJ12 LIMPIADOR DE CUERO LOTOX INFINITE DE 500 ML</t>
  </si>
  <si>
    <t>https://vistony.pe/wp-content/uploads/2025/05/PROTECTOR-DE-INTERIORES.png</t>
  </si>
  <si>
    <t>CAJ12 PROTECTOR DE INTERIOR MULTIUSOS LOTOX INFINITE DE 500 ML</t>
  </si>
  <si>
    <t>https://vistony.pe/wp-content/uploads/2025/05/LIMPIA-VIDRIOS-ANTIEMPANANTE.png</t>
  </si>
  <si>
    <t>CAJ12 LIMPIA VIDRIOS ANTIEMPAÑANTE LOTOX INFINITE DE 500 ML</t>
  </si>
  <si>
    <t>https://vistony.pe/wp-content/uploads/2025/05/RENOVADOR-DE-PLASTICOS.png</t>
  </si>
  <si>
    <t>CAJ12 RENOVADOR DE PLASTICOS LOTOX INFINITE DE 500 ML</t>
  </si>
  <si>
    <t>https://vistony.pe/wp-content/uploads/2025/05/LAVADO-ECOLOGICO.png</t>
  </si>
  <si>
    <t>CAJ12 LAVADO ECOLOGICO LOTOX INFINITE DE 500 ML</t>
  </si>
  <si>
    <t>https://vistony.pe/wp-content/uploads/2025/10/SILICONA-WHITE-LOTOX.png</t>
  </si>
  <si>
    <t>CAR CARE</t>
  </si>
  <si>
    <t>CAJ24 SILICONA WHITE LOTOX AROMA FRESA DE 300 ML</t>
  </si>
  <si>
    <t>https://vistony.pe/wp-content/uploads/2025/05/AROMAS.png</t>
  </si>
  <si>
    <t>CAJ24 AROMATIZADOR TUTTI FRUTTI 59ML</t>
  </si>
  <si>
    <t>CAJ24 AROMATIZADOR SILVESTRE 59ML</t>
  </si>
  <si>
    <t>CAJ24 AROMATIZADOR MARINO 59ML</t>
  </si>
  <si>
    <t>CAJ24 AROMATIZADOR LIMON 59ML</t>
  </si>
  <si>
    <t>CAJ24 AROMATIZADOR FRESHCAR 59ML</t>
  </si>
  <si>
    <t>CAJ24 AROMATIZADOR FLORAL 59ML</t>
  </si>
  <si>
    <t>https://vistony.pe/wp-content/uploads/2025/05/SILICONA-PROTECTORA-SPRAY-LOTOX.png</t>
  </si>
  <si>
    <t>CAJ12 SILICONA TRANSPARENTE LOTOX AROMA FRESA DE 356 ML - 12 OZ</t>
  </si>
  <si>
    <t>https://vistony.pe/wp-content/uploads/2025/05/SHAMPOO-LOTOX-SUPER-CONCENTRADO-3-EN-1.png</t>
  </si>
  <si>
    <t>CAJ12 SHAMPOO SUPER CONCENTRADO 3 EN 1 DE 1L</t>
  </si>
  <si>
    <t>https://vistony.pe/wp-content/uploads/2025/05/PULVERIZADOR-DE-MOTOR-LOTOX.png</t>
  </si>
  <si>
    <t>CAJ12 PULVERIZADOR DE MOTOR LOTOX DE 650 ML</t>
  </si>
  <si>
    <t>https://vistony.pe/wp-content/uploads/2025/05/LIMPIA-PARABRISAS-LOTOX.png</t>
  </si>
  <si>
    <t>CAJ12 LIMPIA PARABRISAS LOTOX DE 1L</t>
  </si>
  <si>
    <t>https://vistony.pe/wp-content/uploads/2025/10/BRILLANTA.png</t>
  </si>
  <si>
    <t>CAJ12 BRILLANTA LOTOX DE 300 ML</t>
  </si>
  <si>
    <t>CAJ06 SILICONA WHITE LOTOX AROMA FRESA DE 1 GL</t>
  </si>
  <si>
    <t>CAJ06 SHAMPOO LOTOX SUPER CONCENTRADO 3 EN 1 DE 1 GAL</t>
  </si>
  <si>
    <t>CAJ06 PULVERIZADOR DE MOTOR LOTOX DE GL</t>
  </si>
  <si>
    <t>CAJ06 LIMPIA PARABRISAS LOTOX DE 1 GL</t>
  </si>
  <si>
    <t>https://vistony.pe/wp-content/uploads/2025/05/SUPER-LIMPIA-TAPIZ-LOTOX.png</t>
  </si>
  <si>
    <t>CAJ12 LIMPIA TAPIZ LOTOX DE 650 ML</t>
  </si>
  <si>
    <t>CAJ06 BRILLANTA LOTOX DE 1GL</t>
  </si>
  <si>
    <t>https://vistony.pe/wp-content/uploads/2025/05/CERA-LIQUIDA-LOTOX.png</t>
  </si>
  <si>
    <t>CAJ12 CERA VISTONY LIQUID WAX EXTREME DURABILLITY DE 250 ML</t>
  </si>
  <si>
    <t>https://vistony.pe/wp-content/uploads/2025/09/CERA-EN-CREMA-200-G.png</t>
  </si>
  <si>
    <t>CAJ12 CERA EN CREMA PARA AUTO DE 200 GR</t>
  </si>
  <si>
    <t>CAJA REDUCTORA</t>
  </si>
  <si>
    <t>CIL VELTRON ISO VG 220 DE 55 GAL</t>
  </si>
  <si>
    <t>https://vistony.pe/wp-content/uploads/2025/05/LIMPIA-CONTACTO.png</t>
  </si>
  <si>
    <t>AUXILIAR DE MANTENIMIENTO</t>
  </si>
  <si>
    <t>CAJ12 SPRAY LIMPIA CONTACTO DE 10 ONZ / 296ML</t>
  </si>
  <si>
    <t>https://vistony.pe/wp-content/uploads/2025/05/LIMPIA-CARBURADOR.png</t>
  </si>
  <si>
    <t>CAJ12 SPRAY LIMPIA CARBURADOR 10 ONZ / 296 ML</t>
  </si>
  <si>
    <t>https://vistony.pe/wp-content/uploads/2025/05/AUXILIAR-DE-ARRANQUE.png</t>
  </si>
  <si>
    <t>CAJ12 SPRAY AUXILIAR DE ARRANQUE DE 10 OZ /296 ML</t>
  </si>
  <si>
    <t>https://vistony.pe/wp-content/uploads/2025/05/LIMPIA-INYECTORES.png</t>
  </si>
  <si>
    <t>CAJ12 LIMPIA INYECTORA DE 10 ONZ/296 ML</t>
  </si>
  <si>
    <t>https://vistony.pe/wp-content/uploads/2025/05/BRAKE-CLEANER.png</t>
  </si>
  <si>
    <t>CAJ12 BRAKE CLEANER SPRAY DE 296 ML</t>
  </si>
  <si>
    <t>https://vistony.pe/wp-content/uploads/2025/05/AFLOJATODO-ZK-90.png</t>
  </si>
  <si>
    <t>CAJ12 AFLOJATODO SUPER ZK-90 DE 10 ONZ.</t>
  </si>
  <si>
    <t>https://vistony.pe/wp-content/uploads/2025/05/MOTOR-FLUSH.png</t>
  </si>
  <si>
    <t>ADITIVO</t>
  </si>
  <si>
    <t>CAJ12 MOTOR FLUSH DE 443 ML</t>
  </si>
  <si>
    <t>https://vistony.pe/wp-content/uploads/2025/05/LIMPIA-RADIADOR.png</t>
  </si>
  <si>
    <t>CAJ12 LIMPIA RADIADOR DE LATA DE 300 ML</t>
  </si>
  <si>
    <t>https://vistony.pe/wp-content/uploads/2025/05/GASOLINE-OIL-ADITIVE.png</t>
  </si>
  <si>
    <t>CAJ12 ADITIVO PARA MOTOR GASOLINERO DE 443 ML</t>
  </si>
  <si>
    <t>https://vistony.pe/wp-content/uploads/2025/05/ADITIVO-DIESEL.png</t>
  </si>
  <si>
    <t>CAJ12 ADITIVO PARA COMBUSTIBLE DIESEL DE 300 ML</t>
  </si>
  <si>
    <t>https://vistony.pe/wp-content/uploads/2025/10/NO-SMOKE.png</t>
  </si>
  <si>
    <t>CAJ12 ADITIVO ANTIHUMO NO SMOKE DE 410 ML</t>
  </si>
  <si>
    <t>https://vistony.pe/wp-content/uploads/2025/05/ADITIVO-GASOLINERO.png</t>
  </si>
  <si>
    <t>CAJ12 ADITIVO PARA COMBUSTIBLE GASOLINERO DE 300 ML</t>
  </si>
  <si>
    <t>https://vistony.pe/wp-content/uploads/2025/05/DIESEL-OIL-ADITIVE.png</t>
  </si>
  <si>
    <t>CAJ12 ADITIVO ESPECIAL PARA DIESEL DE 300 ML</t>
  </si>
  <si>
    <t>CAJ12 ADITIVO ESPECIAL PARA DIESEL DE 443 ML</t>
  </si>
  <si>
    <t>CAJ12 ADITIVO PARA MOTOR GASOLINERO 300 ML</t>
  </si>
  <si>
    <t>https://vistonylubricantes.cl/wp-content/uploads/2025/10/ICE-REEZE-50-50-GREEN.png</t>
  </si>
  <si>
    <t>https://vistonylubricantes.cl/wp-content/uploads/2025/10/ICE-FREEZE-33.png</t>
  </si>
  <si>
    <t>BAL DRAULACAT TO-4 SAE 30 DE 5 GL</t>
  </si>
  <si>
    <t>BAL DRAULACAT TO-4 SAE 50 DE 5 GAL</t>
  </si>
  <si>
    <t>CIL VELTRON ISO VG 680 DE 55 GAL</t>
  </si>
  <si>
    <t>CIL VELTRON ISO VG 460 DE 55 GAL</t>
  </si>
  <si>
    <t>CIL VELTRON ISO VG 320 DE 55 GAL</t>
  </si>
  <si>
    <t>CIL VELTRON ISO VG 150 DE 55 GAL</t>
  </si>
  <si>
    <t>BAL VELTRON ISO VG 680 DE 5 GAL</t>
  </si>
  <si>
    <t>BAL VELTRON ISO VG 460 DE 5 GAL</t>
  </si>
  <si>
    <t>BAL VELTRON ISO VG 320 DE 5 GAL</t>
  </si>
  <si>
    <t>BAL VELTRON ISO VG 220 DE 5 GAL</t>
  </si>
  <si>
    <t>BAL VELTRON ISO VG 150 DE 5 GAL</t>
  </si>
  <si>
    <t>BAL COOLANT ICE FREEZE ORGANICO (OAT) 50/50 COLOR VERDE DE 5 GL</t>
  </si>
  <si>
    <t>BAL COOLANT ICE FREEZE ORGANICO (OAT) 33% GREEN DE 5 GL</t>
  </si>
  <si>
    <t>PRECIO NETO DE COMPRA</t>
  </si>
  <si>
    <t>PRECIO COMPRA FINAL IVA INC</t>
  </si>
  <si>
    <t>PRECIO NETO DE VENTA</t>
  </si>
  <si>
    <t>PRECIO DE VENTA  FINAL IVA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</si>
</sst>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2" applyFont="1" applyFill="1" applyBorder="1" applyAlignment="1">
      <alignment horizontal="center" vertical="center" wrapText="1"/>
    </xf>
    <xf numFmtId="0" fontId="3" fillId="0" borderId="0" xfId="3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2" fillId="3" borderId="1" xfId="1" applyFont="1" applyFill="1" applyBorder="1" applyAlignment="1">
      <alignment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3" xfId="2" applyNumberFormat="1" applyFont="1" applyFill="1" applyBorder="1" applyAlignment="1">
      <alignment horizontal="center" vertical="center"/>
    </xf>
    <xf numFmtId="164" fontId="2" fillId="3" borderId="3" xfId="1" applyFont="1" applyFill="1" applyBorder="1" applyAlignment="1">
      <alignment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Hipervínculo" xfId="3" builtinId="8"/>
    <cellStyle name="Moneda [0]" xfId="1" builtinId="7"/>
    <cellStyle name="Normal" xfId="0" builtinId="0"/>
    <cellStyle name="Porcentaj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ncrypted-tbn0.gstatic.com/images?q=tbn:ANd9GcQCmAOjRwtk0iQl5PGwMVQ9qexQpzAOUVJMkzdphiq0VA&amp;s=10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</webImagesSrd>
</file>

<file path=xl/richData/rdrichvalue.xml><?xml version="1.0" encoding="utf-8"?>
<rvData xmlns="http://schemas.microsoft.com/office/spreadsheetml/2017/richdata" count="1">
  <rv s="0">
    <v>0</v>
    <v>5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tony.pe/wp-content/uploads/2025/10/LIQUIDO-RADIADOR-ROJO.png" TargetMode="External"/><Relationship Id="rId117" Type="http://schemas.openxmlformats.org/officeDocument/2006/relationships/hyperlink" Target="https://vistony.pe/wp-content/uploads/2025/10/NO-SMOKE.png" TargetMode="External"/><Relationship Id="rId21" Type="http://schemas.openxmlformats.org/officeDocument/2006/relationships/hyperlink" Target="https://vistony.pe/wp-content/uploads/2025/10/GEAR-OIL.png" TargetMode="External"/><Relationship Id="rId42" Type="http://schemas.openxmlformats.org/officeDocument/2006/relationships/hyperlink" Target="https://vistonylubricantes.cl/wp-content/uploads/2025/10/FORZA-RAYGOLD-1.png" TargetMode="External"/><Relationship Id="rId47" Type="http://schemas.openxmlformats.org/officeDocument/2006/relationships/hyperlink" Target="https://vistony.pe/wp-content/uploads/2025/10/ATTOM-S320.png" TargetMode="External"/><Relationship Id="rId63" Type="http://schemas.openxmlformats.org/officeDocument/2006/relationships/hyperlink" Target="https://vistony.pe/wp-content/uploads/2025/05/RAYVON-4T-SCOOTER-ST-10W-40.png" TargetMode="External"/><Relationship Id="rId68" Type="http://schemas.openxmlformats.org/officeDocument/2006/relationships/hyperlink" Target="https://vistony.pe/wp-content/uploads/2025/05/DOT-4-PARA-MOTOS.png" TargetMode="External"/><Relationship Id="rId84" Type="http://schemas.openxmlformats.org/officeDocument/2006/relationships/hyperlink" Target="https://vistony.pe/wp-content/uploads/2025/05/VOLTEK-1.webp" TargetMode="External"/><Relationship Id="rId89" Type="http://schemas.openxmlformats.org/officeDocument/2006/relationships/hyperlink" Target="https://vistony.pe/wp-content/uploads/2025/05/RENOVADOR-DE-PLASTICOS.png" TargetMode="External"/><Relationship Id="rId112" Type="http://schemas.openxmlformats.org/officeDocument/2006/relationships/hyperlink" Target="https://vistony.pe/wp-content/uploads/2025/05/AFLOJATODO-ZK-90.png" TargetMode="External"/><Relationship Id="rId16" Type="http://schemas.openxmlformats.org/officeDocument/2006/relationships/hyperlink" Target="https://vistony.pe/wp-content/uploads/2025/10/BRIKSON-ATF-MDIII.png" TargetMode="External"/><Relationship Id="rId107" Type="http://schemas.openxmlformats.org/officeDocument/2006/relationships/hyperlink" Target="https://vistony.pe/wp-content/uploads/2025/05/VOLTEK-1.webp" TargetMode="External"/><Relationship Id="rId11" Type="http://schemas.openxmlformats.org/officeDocument/2006/relationships/hyperlink" Target="https://vistony.pe/wp-content/uploads/2025/10/GEAR-OIL-SYNTHETIC-1.png" TargetMode="External"/><Relationship Id="rId32" Type="http://schemas.openxmlformats.org/officeDocument/2006/relationships/hyperlink" Target="https://vistony.pe/wp-content/uploads/2025/10/ICE-FREEZE-HEAVYE-DUTY.png" TargetMode="External"/><Relationship Id="rId37" Type="http://schemas.openxmlformats.org/officeDocument/2006/relationships/hyperlink" Target="https://vistonylubricantes.cl/wp-content/uploads/2025/10/ICE-FREEZE-GM-PLUS-1.png" TargetMode="External"/><Relationship Id="rId53" Type="http://schemas.openxmlformats.org/officeDocument/2006/relationships/hyperlink" Target="https://vistonylubricantes.cl/wp-content/uploads/2025/10/BLINDAX-SUPER.png" TargetMode="External"/><Relationship Id="rId58" Type="http://schemas.openxmlformats.org/officeDocument/2006/relationships/hyperlink" Target="https://vistony.pe/wp-content/uploads/2025/05/RAYVON-FORKOIL-10W.png" TargetMode="External"/><Relationship Id="rId74" Type="http://schemas.openxmlformats.org/officeDocument/2006/relationships/hyperlink" Target="https://vistony.pe/wp-content/uploads/2025/05/VOLTEK-1.webp" TargetMode="External"/><Relationship Id="rId79" Type="http://schemas.openxmlformats.org/officeDocument/2006/relationships/hyperlink" Target="https://vistonylubricantes.cl/wp-content/uploads/2025/05/COMPLEJO-DE-LITIO.png" TargetMode="External"/><Relationship Id="rId102" Type="http://schemas.openxmlformats.org/officeDocument/2006/relationships/hyperlink" Target="https://vistony.pe/wp-content/uploads/2025/10/BRILLANTA.png" TargetMode="External"/><Relationship Id="rId123" Type="http://schemas.openxmlformats.org/officeDocument/2006/relationships/hyperlink" Target="https://vistony.pe/wp-content/uploads/2025/05/VOLTEK-1.webp" TargetMode="External"/><Relationship Id="rId5" Type="http://schemas.openxmlformats.org/officeDocument/2006/relationships/hyperlink" Target="https://vistony.pe/wp-content/uploads/2025/10/airblue.png" TargetMode="External"/><Relationship Id="rId90" Type="http://schemas.openxmlformats.org/officeDocument/2006/relationships/hyperlink" Target="https://vistony.pe/wp-content/uploads/2025/05/LAVADO-ECOLOGICO.png" TargetMode="External"/><Relationship Id="rId95" Type="http://schemas.openxmlformats.org/officeDocument/2006/relationships/hyperlink" Target="https://vistony.pe/wp-content/uploads/2025/05/SILICONA-PROTECTORA-SPRAY-LOTOX.png" TargetMode="External"/><Relationship Id="rId22" Type="http://schemas.openxmlformats.org/officeDocument/2006/relationships/hyperlink" Target="https://vistony.pe/wp-content/uploads/2025/10/GEAR-OIL-SYNTHETIC-1.png" TargetMode="External"/><Relationship Id="rId27" Type="http://schemas.openxmlformats.org/officeDocument/2006/relationships/hyperlink" Target="https://vistony.pe/wp-content/uploads/2025/10/LIQUIDO-RADIADOR-VERDE.png" TargetMode="External"/><Relationship Id="rId43" Type="http://schemas.openxmlformats.org/officeDocument/2006/relationships/hyperlink" Target="https://vistonylubricantes.cl/wp-content/uploads/2025/05/VOLTEK-1.webp" TargetMode="External"/><Relationship Id="rId48" Type="http://schemas.openxmlformats.org/officeDocument/2006/relationships/hyperlink" Target="https://vistony.pe/wp-content/uploads/2025/10/ATTOM-S310.png" TargetMode="External"/><Relationship Id="rId64" Type="http://schemas.openxmlformats.org/officeDocument/2006/relationships/hyperlink" Target="https://vistony.pe/wp-content/uploads/2025/10/ATTOM-RAYVON-1.png" TargetMode="External"/><Relationship Id="rId69" Type="http://schemas.openxmlformats.org/officeDocument/2006/relationships/hyperlink" Target="https://vistony.pe/wp-content/uploads/2025/05/DOT_4.png" TargetMode="External"/><Relationship Id="rId113" Type="http://schemas.openxmlformats.org/officeDocument/2006/relationships/hyperlink" Target="https://vistony.pe/wp-content/uploads/2025/05/MOTOR-FLUSH.png" TargetMode="External"/><Relationship Id="rId118" Type="http://schemas.openxmlformats.org/officeDocument/2006/relationships/hyperlink" Target="https://vistony.pe/wp-content/uploads/2025/05/GASOLINE-OIL-ADITIVE.png" TargetMode="External"/><Relationship Id="rId80" Type="http://schemas.openxmlformats.org/officeDocument/2006/relationships/hyperlink" Target="https://vistonylubricantes.cl/wp-content/uploads/2025/05/GRASA-CHASIS-SUPER-H.png" TargetMode="External"/><Relationship Id="rId85" Type="http://schemas.openxmlformats.org/officeDocument/2006/relationships/hyperlink" Target="https://vistony.pe/wp-content/uploads/2025/05/VOLTEK-1.webp" TargetMode="External"/><Relationship Id="rId12" Type="http://schemas.openxmlformats.org/officeDocument/2006/relationships/hyperlink" Target="https://vistony.pe/wp-content/uploads/2025/10/GEAR-OIL.png" TargetMode="External"/><Relationship Id="rId17" Type="http://schemas.openxmlformats.org/officeDocument/2006/relationships/hyperlink" Target="https://vistony.pe/wp-content/uploads/2025/05/ATF_tipoF.png" TargetMode="External"/><Relationship Id="rId33" Type="http://schemas.openxmlformats.org/officeDocument/2006/relationships/hyperlink" Target="https://vistony.pe/wp-content/uploads/2025/05/MUTURROL.png" TargetMode="External"/><Relationship Id="rId38" Type="http://schemas.openxmlformats.org/officeDocument/2006/relationships/hyperlink" Target="https://vistony.pe/wp-content/uploads/2025/10/ICE-FREEZE-HEAVYE-DUTY.png" TargetMode="External"/><Relationship Id="rId59" Type="http://schemas.openxmlformats.org/officeDocument/2006/relationships/hyperlink" Target="https://vistony.pe/wp-content/uploads/2025/10/SINTEK-RAYVON-1.png" TargetMode="External"/><Relationship Id="rId103" Type="http://schemas.openxmlformats.org/officeDocument/2006/relationships/hyperlink" Target="https://vistony.pe/wp-content/uploads/2025/10/BRILLANTA.png" TargetMode="External"/><Relationship Id="rId108" Type="http://schemas.openxmlformats.org/officeDocument/2006/relationships/hyperlink" Target="https://vistony.pe/wp-content/uploads/2025/05/LIMPIA-CONTACTO.png" TargetMode="External"/><Relationship Id="rId124" Type="http://schemas.openxmlformats.org/officeDocument/2006/relationships/hyperlink" Target="https://vistonylubricantes.cl/wp-content/uploads/2025/10/ICE-REEZE-50-50-GREEN.png" TargetMode="External"/><Relationship Id="rId54" Type="http://schemas.openxmlformats.org/officeDocument/2006/relationships/hyperlink" Target="https://vistony.pe/wp-content/uploads/2025/10/J800.png" TargetMode="External"/><Relationship Id="rId70" Type="http://schemas.openxmlformats.org/officeDocument/2006/relationships/hyperlink" Target="https://vistony.pe/wp-content/uploads/2025/05/DOT_4.png" TargetMode="External"/><Relationship Id="rId75" Type="http://schemas.openxmlformats.org/officeDocument/2006/relationships/hyperlink" Target="https://vistony.pe/wp-content/uploads/2025/05/WHITE-LITHIUM-GREASE-1.png" TargetMode="External"/><Relationship Id="rId91" Type="http://schemas.openxmlformats.org/officeDocument/2006/relationships/hyperlink" Target="https://vistony.pe/wp-content/uploads/2025/10/SILICONA-WHITE-LOTOX.png" TargetMode="External"/><Relationship Id="rId96" Type="http://schemas.openxmlformats.org/officeDocument/2006/relationships/hyperlink" Target="https://vistony.pe/wp-content/uploads/2025/05/SHAMPOO-LOTOX-SUPER-CONCENTRADO-3-EN-1.png" TargetMode="External"/><Relationship Id="rId1" Type="http://schemas.openxmlformats.org/officeDocument/2006/relationships/hyperlink" Target="https://vistony.pe/wp-content/uploads/2025/05/VOLTEK-1.webp" TargetMode="External"/><Relationship Id="rId6" Type="http://schemas.openxmlformats.org/officeDocument/2006/relationships/hyperlink" Target="https://vistony.pe/wp-content/uploads/2025/10/GEAR-OIL.png" TargetMode="External"/><Relationship Id="rId23" Type="http://schemas.openxmlformats.org/officeDocument/2006/relationships/hyperlink" Target="https://vistony.pe/wp-content/uploads/2025/05/ATF-BRIKSON-MD-III.png" TargetMode="External"/><Relationship Id="rId28" Type="http://schemas.openxmlformats.org/officeDocument/2006/relationships/hyperlink" Target="https://vistony.pe/wp-content/uploads/2025/05/MUTURROL.png" TargetMode="External"/><Relationship Id="rId49" Type="http://schemas.openxmlformats.org/officeDocument/2006/relationships/hyperlink" Target="https://vistony.pe/wp-content/uploads/2025/10/ATTOM-S400.png" TargetMode="External"/><Relationship Id="rId114" Type="http://schemas.openxmlformats.org/officeDocument/2006/relationships/hyperlink" Target="https://vistony.pe/wp-content/uploads/2025/05/LIMPIA-RADIADOR.png" TargetMode="External"/><Relationship Id="rId119" Type="http://schemas.openxmlformats.org/officeDocument/2006/relationships/hyperlink" Target="https://vistony.pe/wp-content/uploads/2025/05/GASOLINE-OIL-ADITIVE.png" TargetMode="External"/><Relationship Id="rId44" Type="http://schemas.openxmlformats.org/officeDocument/2006/relationships/hyperlink" Target="https://vistony.pe/wp-content/uploads/2025/10/FORZA-ADVANCED-1.png" TargetMode="External"/><Relationship Id="rId60" Type="http://schemas.openxmlformats.org/officeDocument/2006/relationships/hyperlink" Target="https://vistony.pe/wp-content/uploads/2025/10/SINTEK-RAYVON-1.png" TargetMode="External"/><Relationship Id="rId65" Type="http://schemas.openxmlformats.org/officeDocument/2006/relationships/hyperlink" Target="https://vistony.pe/wp-content/uploads/2025/05/RAYVON-SUPER-2T.png" TargetMode="External"/><Relationship Id="rId81" Type="http://schemas.openxmlformats.org/officeDocument/2006/relationships/hyperlink" Target="https://vistonylubricantes.cl/wp-content/uploads/2025/05/GRASA-CHASIS-SUPER-H.png" TargetMode="External"/><Relationship Id="rId86" Type="http://schemas.openxmlformats.org/officeDocument/2006/relationships/hyperlink" Target="https://vistony.pe/wp-content/uploads/2025/05/LIMPIADOR-DE-CUERO.png" TargetMode="External"/><Relationship Id="rId13" Type="http://schemas.openxmlformats.org/officeDocument/2006/relationships/hyperlink" Target="https://vistony.pe/wp-content/uploads/2025/10/GEAR-OIL.png" TargetMode="External"/><Relationship Id="rId18" Type="http://schemas.openxmlformats.org/officeDocument/2006/relationships/hyperlink" Target="https://vistony.pe/wp-content/uploads/2025/10/BRIKSON-ATF-MDIII.png" TargetMode="External"/><Relationship Id="rId39" Type="http://schemas.openxmlformats.org/officeDocument/2006/relationships/hyperlink" Target="https://vistonylubricantes.cl/wp-content/uploads/2025/05/VOLTEK-1.webp" TargetMode="External"/><Relationship Id="rId109" Type="http://schemas.openxmlformats.org/officeDocument/2006/relationships/hyperlink" Target="https://vistony.pe/wp-content/uploads/2025/05/LIMPIA-CARBURADOR.png" TargetMode="External"/><Relationship Id="rId34" Type="http://schemas.openxmlformats.org/officeDocument/2006/relationships/hyperlink" Target="https://vistony.pe/wp-content/uploads/2025/10/ICE-FREEZE-HEAVYE-DUTY.png" TargetMode="External"/><Relationship Id="rId50" Type="http://schemas.openxmlformats.org/officeDocument/2006/relationships/hyperlink" Target="https://encrypted-tbn0.gstatic.com/images?q=tbn:ANd9GcSUs93dZR1NaMNK5rXIIv94ilCT9ZygYnFVtxaT46_aaQ&amp;s=10" TargetMode="External"/><Relationship Id="rId55" Type="http://schemas.openxmlformats.org/officeDocument/2006/relationships/hyperlink" Target="https://vistony.pe/wp-content/uploads/2025/10/J800.png" TargetMode="External"/><Relationship Id="rId76" Type="http://schemas.openxmlformats.org/officeDocument/2006/relationships/hyperlink" Target="https://vistonylubricantes.cl/wp-content/uploads/2025/05/COMPLEJO-DE-LITIO.png" TargetMode="External"/><Relationship Id="rId97" Type="http://schemas.openxmlformats.org/officeDocument/2006/relationships/hyperlink" Target="https://vistony.pe/wp-content/uploads/2025/05/SHAMPOO-LOTOX-SUPER-CONCENTRADO-3-EN-1.png" TargetMode="External"/><Relationship Id="rId104" Type="http://schemas.openxmlformats.org/officeDocument/2006/relationships/hyperlink" Target="https://vistony.pe/wp-content/uploads/2025/05/SUPER-LIMPIA-TAPIZ-LOTOX.png" TargetMode="External"/><Relationship Id="rId120" Type="http://schemas.openxmlformats.org/officeDocument/2006/relationships/hyperlink" Target="https://vistony.pe/wp-content/uploads/2025/05/DIESEL-OIL-ADITIVE.png" TargetMode="External"/><Relationship Id="rId125" Type="http://schemas.openxmlformats.org/officeDocument/2006/relationships/hyperlink" Target="https://vistonylubricantes.cl/wp-content/uploads/2025/10/ICE-FREEZE-33.png" TargetMode="External"/><Relationship Id="rId7" Type="http://schemas.openxmlformats.org/officeDocument/2006/relationships/hyperlink" Target="https://vistony.pe/wp-content/uploads/2025/05/BRIKSON-HD-SYNTH-ATF-A8.png" TargetMode="External"/><Relationship Id="rId71" Type="http://schemas.openxmlformats.org/officeDocument/2006/relationships/hyperlink" Target="https://vistony.pe/wp-content/uploads/2025/05/VOLTEK-1.webp" TargetMode="External"/><Relationship Id="rId92" Type="http://schemas.openxmlformats.org/officeDocument/2006/relationships/hyperlink" Target="https://vistony.pe/wp-content/uploads/2025/05/AROMAS.png" TargetMode="External"/><Relationship Id="rId2" Type="http://schemas.openxmlformats.org/officeDocument/2006/relationships/hyperlink" Target="https://vistony.pe/wp-content/uploads/2025/05/VOLTEK-1.webp" TargetMode="External"/><Relationship Id="rId29" Type="http://schemas.openxmlformats.org/officeDocument/2006/relationships/hyperlink" Target="https://vistony.pe/wp-content/uploads/2025/10/ICE-FREEZE-50-50-FUCHSIA.png" TargetMode="External"/><Relationship Id="rId24" Type="http://schemas.openxmlformats.org/officeDocument/2006/relationships/hyperlink" Target="https://vistony.pe/wp-content/uploads/2025/05/MAX-GREY.png" TargetMode="External"/><Relationship Id="rId40" Type="http://schemas.openxmlformats.org/officeDocument/2006/relationships/hyperlink" Target="https://vistonylubricantes.cl/wp-content/uploads/2025/05/VOLTEK-1.webp" TargetMode="External"/><Relationship Id="rId45" Type="http://schemas.openxmlformats.org/officeDocument/2006/relationships/hyperlink" Target="https://vistony.pe/wp-content/uploads/2025/10/FORZA-ADVANCED-1.png" TargetMode="External"/><Relationship Id="rId66" Type="http://schemas.openxmlformats.org/officeDocument/2006/relationships/hyperlink" Target="https://vistony.pe/wp-content/uploads/2025/05/AGROX-2T.png" TargetMode="External"/><Relationship Id="rId87" Type="http://schemas.openxmlformats.org/officeDocument/2006/relationships/hyperlink" Target="https://vistony.pe/wp-content/uploads/2025/05/PROTECTOR-DE-INTERIORES.png" TargetMode="External"/><Relationship Id="rId110" Type="http://schemas.openxmlformats.org/officeDocument/2006/relationships/hyperlink" Target="https://vistony.pe/wp-content/uploads/2025/05/LIMPIA-INYECTORES.png" TargetMode="External"/><Relationship Id="rId115" Type="http://schemas.openxmlformats.org/officeDocument/2006/relationships/hyperlink" Target="https://vistony.pe/wp-content/uploads/2025/05/ADITIVO-GASOLINERO.png" TargetMode="External"/><Relationship Id="rId61" Type="http://schemas.openxmlformats.org/officeDocument/2006/relationships/hyperlink" Target="https://vistony.pe/wp-content/uploads/2025/10/SINTEK-RAYVON-1.png" TargetMode="External"/><Relationship Id="rId82" Type="http://schemas.openxmlformats.org/officeDocument/2006/relationships/hyperlink" Target="https://vistonylubricantes.cl/wp-content/uploads/2025/10/AQUAOIL-SUPER-2T.png" TargetMode="External"/><Relationship Id="rId19" Type="http://schemas.openxmlformats.org/officeDocument/2006/relationships/hyperlink" Target="https://vistony.pe/wp-content/uploads/2025/05/ATF_tipoF.png" TargetMode="External"/><Relationship Id="rId14" Type="http://schemas.openxmlformats.org/officeDocument/2006/relationships/hyperlink" Target="https://vistony.pe/wp-content/uploads/2025/05/BRIKSON-ATF-SYNTH.png" TargetMode="External"/><Relationship Id="rId30" Type="http://schemas.openxmlformats.org/officeDocument/2006/relationships/hyperlink" Target="https://vistony.pe/wp-content/uploads/2025/10/ICE-FREEZE-33.png" TargetMode="External"/><Relationship Id="rId35" Type="http://schemas.openxmlformats.org/officeDocument/2006/relationships/hyperlink" Target="https://vistony.pe/wp-content/uploads/2025/10/ICE-REEZE-50-50-GREEN.png" TargetMode="External"/><Relationship Id="rId56" Type="http://schemas.openxmlformats.org/officeDocument/2006/relationships/hyperlink" Target="https://vistony.pe/wp-content/uploads/2025/05/RAYVON-4T-J6000.png" TargetMode="External"/><Relationship Id="rId77" Type="http://schemas.openxmlformats.org/officeDocument/2006/relationships/hyperlink" Target="https://vistonylubricantes.cl/wp-content/uploads/2025/05/COMPLEJO-DE-LITIO.png" TargetMode="External"/><Relationship Id="rId100" Type="http://schemas.openxmlformats.org/officeDocument/2006/relationships/hyperlink" Target="https://vistony.pe/wp-content/uploads/2025/05/LIMPIA-PARABRISAS-LOTOX.png" TargetMode="External"/><Relationship Id="rId105" Type="http://schemas.openxmlformats.org/officeDocument/2006/relationships/hyperlink" Target="https://vistony.pe/wp-content/uploads/2025/05/CERA-LIQUIDA-LOTOX.png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https://vistony.pe/wp-content/uploads/2025/05/ATF-BRIKSON-MD-III.png" TargetMode="External"/><Relationship Id="rId51" Type="http://schemas.openxmlformats.org/officeDocument/2006/relationships/hyperlink" Target="https://encrypted-tbn0.gstatic.com/images?q=tbn:ANd9GcSUs93dZR1NaMNK5rXIIv94ilCT9ZygYnFVtxaT46_aaQ&amp;s=10" TargetMode="External"/><Relationship Id="rId72" Type="http://schemas.openxmlformats.org/officeDocument/2006/relationships/hyperlink" Target="https://vistony.pe/wp-content/uploads/2025/05/VOLTEK-1.webp" TargetMode="External"/><Relationship Id="rId93" Type="http://schemas.openxmlformats.org/officeDocument/2006/relationships/hyperlink" Target="https://vistony.pe/wp-content/uploads/2025/05/AROMAS.png" TargetMode="External"/><Relationship Id="rId98" Type="http://schemas.openxmlformats.org/officeDocument/2006/relationships/hyperlink" Target="https://vistony.pe/wp-content/uploads/2025/05/PULVERIZADOR-DE-MOTOR-LOTOX.png" TargetMode="External"/><Relationship Id="rId121" Type="http://schemas.openxmlformats.org/officeDocument/2006/relationships/hyperlink" Target="https://vistony.pe/wp-content/uploads/2025/05/DIESEL-OIL-ADITIVE.png" TargetMode="External"/><Relationship Id="rId3" Type="http://schemas.openxmlformats.org/officeDocument/2006/relationships/hyperlink" Target="https://vistony.pe/wp-content/uploads/2025/10/airblue.png" TargetMode="External"/><Relationship Id="rId25" Type="http://schemas.openxmlformats.org/officeDocument/2006/relationships/hyperlink" Target="https://vistony.pe/wp-content/uploads/2025/10/LIQUIDO-RADIADOR-VERDE.png" TargetMode="External"/><Relationship Id="rId46" Type="http://schemas.openxmlformats.org/officeDocument/2006/relationships/hyperlink" Target="https://vistony.pe/wp-content/uploads/2025/10/ATTOM-S320.png" TargetMode="External"/><Relationship Id="rId67" Type="http://schemas.openxmlformats.org/officeDocument/2006/relationships/hyperlink" Target="https://vistony.pe/wp-content/uploads/2025/05/AGROX-2T.png" TargetMode="External"/><Relationship Id="rId116" Type="http://schemas.openxmlformats.org/officeDocument/2006/relationships/hyperlink" Target="https://vistony.pe/wp-content/uploads/2025/05/ADITIVO-DIESEL.png" TargetMode="External"/><Relationship Id="rId20" Type="http://schemas.openxmlformats.org/officeDocument/2006/relationships/hyperlink" Target="https://vistony.pe/wp-content/uploads/2025/05/TRANSMEC-SYNTHETIC.png" TargetMode="External"/><Relationship Id="rId41" Type="http://schemas.openxmlformats.org/officeDocument/2006/relationships/hyperlink" Target="https://vistonylubricantes.cl/wp-content/uploads/2025/05/VOLTEK-1.webp" TargetMode="External"/><Relationship Id="rId62" Type="http://schemas.openxmlformats.org/officeDocument/2006/relationships/hyperlink" Target="https://vistony.pe/wp-content/uploads/2025/10/RAYVON-SUPER-1.png" TargetMode="External"/><Relationship Id="rId83" Type="http://schemas.openxmlformats.org/officeDocument/2006/relationships/hyperlink" Target="https://vistony.pe/wp-content/uploads/2025/05/VOLTEK-1.webp" TargetMode="External"/><Relationship Id="rId88" Type="http://schemas.openxmlformats.org/officeDocument/2006/relationships/hyperlink" Target="https://vistony.pe/wp-content/uploads/2025/05/LIMPIA-VIDRIOS-ANTIEMPANANTE.png" TargetMode="External"/><Relationship Id="rId111" Type="http://schemas.openxmlformats.org/officeDocument/2006/relationships/hyperlink" Target="https://vistony.pe/wp-content/uploads/2025/05/BRAKE-CLEANER.png" TargetMode="External"/><Relationship Id="rId15" Type="http://schemas.openxmlformats.org/officeDocument/2006/relationships/hyperlink" Target="https://vistony.pe/wp-content/uploads/2025/10/BRIKSON-CVT-UNIVERSAL.png" TargetMode="External"/><Relationship Id="rId36" Type="http://schemas.openxmlformats.org/officeDocument/2006/relationships/hyperlink" Target="https://vistonylubricantes.cl/wp-content/uploads/2025/10/ICE-FREEZE-ROSA.png" TargetMode="External"/><Relationship Id="rId57" Type="http://schemas.openxmlformats.org/officeDocument/2006/relationships/hyperlink" Target="https://vistony.pe/wp-content/uploads/2025/05/RAYVON-4T-J6000.png" TargetMode="External"/><Relationship Id="rId106" Type="http://schemas.openxmlformats.org/officeDocument/2006/relationships/hyperlink" Target="https://vistony.pe/wp-content/uploads/2025/09/CERA-EN-CREMA-200-G.png" TargetMode="External"/><Relationship Id="rId10" Type="http://schemas.openxmlformats.org/officeDocument/2006/relationships/hyperlink" Target="https://vistony.pe/wp-content/uploads/2025/05/TRANSMEC-SYNTHETIC.png" TargetMode="External"/><Relationship Id="rId31" Type="http://schemas.openxmlformats.org/officeDocument/2006/relationships/hyperlink" Target="https://vistony.pe/wp-content/uploads/2025/10/ICE-REEZE-50-50-GREEN.png" TargetMode="External"/><Relationship Id="rId52" Type="http://schemas.openxmlformats.org/officeDocument/2006/relationships/hyperlink" Target="https://vistonylubricantes.cl/wp-content/uploads/2025/10/BLINDAX-SUPER.png" TargetMode="External"/><Relationship Id="rId73" Type="http://schemas.openxmlformats.org/officeDocument/2006/relationships/hyperlink" Target="https://vistony.pe/wp-content/uploads/2025/05/VOLTEK-1.webp" TargetMode="External"/><Relationship Id="rId78" Type="http://schemas.openxmlformats.org/officeDocument/2006/relationships/hyperlink" Target="https://vistony.pe/wp-content/uploads/2025/05/MOLIBDENO-LITHIUM-EP-2-1.png" TargetMode="External"/><Relationship Id="rId94" Type="http://schemas.openxmlformats.org/officeDocument/2006/relationships/hyperlink" Target="https://vistony.pe/wp-content/uploads/2025/05/AROMAS.png" TargetMode="External"/><Relationship Id="rId99" Type="http://schemas.openxmlformats.org/officeDocument/2006/relationships/hyperlink" Target="https://vistony.pe/wp-content/uploads/2025/05/PULVERIZADOR-DE-MOTOR-LOTOX.png" TargetMode="External"/><Relationship Id="rId101" Type="http://schemas.openxmlformats.org/officeDocument/2006/relationships/hyperlink" Target="https://vistony.pe/wp-content/uploads/2025/05/LIMPIA-PARABRISAS-LOTOX.png" TargetMode="External"/><Relationship Id="rId122" Type="http://schemas.openxmlformats.org/officeDocument/2006/relationships/hyperlink" Target="https://vistony.pe/wp-content/uploads/2025/05/VOLTEK-1.webp" TargetMode="External"/><Relationship Id="rId4" Type="http://schemas.openxmlformats.org/officeDocument/2006/relationships/hyperlink" Target="https://vistony.pe/wp-content/uploads/2025/10/airblue.png" TargetMode="External"/><Relationship Id="rId9" Type="http://schemas.openxmlformats.org/officeDocument/2006/relationships/hyperlink" Target="https://vistony.pe/wp-content/uploads/2025/05/ATF_tipo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796D-A870-4AC8-9DE7-B3A6672A216C}">
  <dimension ref="A1:K187"/>
  <sheetViews>
    <sheetView showGridLines="0" tabSelected="1" zoomScale="90" zoomScaleNormal="90" workbookViewId="0">
      <pane xSplit="5" ySplit="3" topLeftCell="F4" activePane="bottomRight" state="frozen"/>
      <selection pane="topRight" activeCell="C1" sqref="C1"/>
      <selection pane="bottomLeft" activeCell="A3" sqref="A3"/>
      <selection pane="bottomRight" activeCell="O9" sqref="O9"/>
    </sheetView>
  </sheetViews>
  <sheetFormatPr baseColWidth="10" defaultColWidth="5.5" defaultRowHeight="15" x14ac:dyDescent="0.2"/>
  <cols>
    <col min="1" max="1" width="0" hidden="1" customWidth="1"/>
    <col min="2" max="2" width="7.1640625" customWidth="1"/>
    <col min="3" max="3" width="27" customWidth="1"/>
    <col min="4" max="4" width="6.83203125" style="20" customWidth="1"/>
    <col min="5" max="5" width="11.5" style="21" customWidth="1"/>
    <col min="6" max="6" width="56.1640625" customWidth="1"/>
    <col min="7" max="7" width="10.1640625" bestFit="1" customWidth="1"/>
    <col min="8" max="11" width="12.1640625" bestFit="1" customWidth="1"/>
  </cols>
  <sheetData>
    <row r="1" spans="1:11" ht="99" customHeight="1" x14ac:dyDescent="0.2">
      <c r="B1" s="22" t="e" vm="1">
        <v>#VALUE!</v>
      </c>
      <c r="C1" s="22"/>
      <c r="D1" s="22"/>
      <c r="E1" s="22"/>
    </row>
    <row r="2" spans="1:11" ht="74.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3" t="s">
        <v>6</v>
      </c>
      <c r="H2" s="1" t="s">
        <v>303</v>
      </c>
      <c r="I2" s="1" t="s">
        <v>304</v>
      </c>
      <c r="J2" s="1" t="s">
        <v>305</v>
      </c>
      <c r="K2" s="1" t="s">
        <v>306</v>
      </c>
    </row>
    <row r="3" spans="1:11" ht="18" customHeight="1" x14ac:dyDescent="0.2">
      <c r="A3" s="4" t="s">
        <v>7</v>
      </c>
      <c r="B3" s="5">
        <f>ROW(E3)-2</f>
        <v>1</v>
      </c>
      <c r="C3" s="6" t="s">
        <v>8</v>
      </c>
      <c r="D3" s="5" t="str">
        <f t="shared" ref="D3:D66" ca="1" si="0">IFERROR(_xlfn.IMAGE(A3),"")</f>
        <v/>
      </c>
      <c r="E3" s="7">
        <v>1000105</v>
      </c>
      <c r="F3" s="8" t="s">
        <v>9</v>
      </c>
      <c r="G3" s="5" t="s">
        <v>10</v>
      </c>
      <c r="H3" s="9">
        <v>51659.563025210082</v>
      </c>
      <c r="I3" s="10">
        <v>61474.879999999997</v>
      </c>
      <c r="J3" s="9">
        <f>+H3*1.3</f>
        <v>67157.431932773106</v>
      </c>
      <c r="K3" s="10">
        <f>+J3*1.19</f>
        <v>79917.343999999997</v>
      </c>
    </row>
    <row r="4" spans="1:11" ht="18" customHeight="1" x14ac:dyDescent="0.2">
      <c r="A4" s="4" t="s">
        <v>7</v>
      </c>
      <c r="B4" s="5">
        <f t="shared" ref="B4:B67" si="1">ROW(E4)-2</f>
        <v>2</v>
      </c>
      <c r="C4" s="6" t="s">
        <v>8</v>
      </c>
      <c r="D4" s="5" t="str">
        <f t="shared" ca="1" si="0"/>
        <v/>
      </c>
      <c r="E4" s="7">
        <v>1000153</v>
      </c>
      <c r="F4" s="8" t="s">
        <v>11</v>
      </c>
      <c r="G4" s="11" t="s">
        <v>12</v>
      </c>
      <c r="H4" s="9">
        <v>559326.42857142852</v>
      </c>
      <c r="I4" s="10">
        <v>665598.44999999995</v>
      </c>
      <c r="J4" s="9">
        <f t="shared" ref="J4:J67" si="2">+H4*1.3</f>
        <v>727124.35714285716</v>
      </c>
      <c r="K4" s="10">
        <f t="shared" ref="K4:K67" si="3">+J4*1.19</f>
        <v>865277.98499999999</v>
      </c>
    </row>
    <row r="5" spans="1:11" ht="18" customHeight="1" x14ac:dyDescent="0.2">
      <c r="A5" s="4" t="s">
        <v>13</v>
      </c>
      <c r="B5" s="5">
        <f t="shared" si="1"/>
        <v>3</v>
      </c>
      <c r="C5" s="6" t="s">
        <v>14</v>
      </c>
      <c r="D5" s="5" t="str">
        <f t="shared" ca="1" si="0"/>
        <v/>
      </c>
      <c r="E5" s="7">
        <v>1200212</v>
      </c>
      <c r="F5" s="8" t="s">
        <v>15</v>
      </c>
      <c r="G5" s="5" t="s">
        <v>10</v>
      </c>
      <c r="H5" s="9">
        <v>20120.588235294119</v>
      </c>
      <c r="I5" s="10">
        <v>23943.5</v>
      </c>
      <c r="J5" s="9">
        <f t="shared" si="2"/>
        <v>26156.764705882357</v>
      </c>
      <c r="K5" s="10">
        <f t="shared" si="3"/>
        <v>31126.550000000003</v>
      </c>
    </row>
    <row r="6" spans="1:11" ht="18" customHeight="1" x14ac:dyDescent="0.2">
      <c r="A6" s="4" t="s">
        <v>13</v>
      </c>
      <c r="B6" s="5">
        <f t="shared" si="1"/>
        <v>4</v>
      </c>
      <c r="C6" s="6" t="s">
        <v>14</v>
      </c>
      <c r="D6" s="5" t="str">
        <f t="shared" ca="1" si="0"/>
        <v/>
      </c>
      <c r="E6" s="7">
        <v>1200120</v>
      </c>
      <c r="F6" s="8" t="s">
        <v>16</v>
      </c>
      <c r="G6" s="11" t="s">
        <v>12</v>
      </c>
      <c r="H6" s="9">
        <v>202540</v>
      </c>
      <c r="I6" s="10">
        <v>241022.59999999998</v>
      </c>
      <c r="J6" s="9">
        <f t="shared" si="2"/>
        <v>263302</v>
      </c>
      <c r="K6" s="10">
        <f t="shared" si="3"/>
        <v>313329.38</v>
      </c>
    </row>
    <row r="7" spans="1:11" ht="18" customHeight="1" x14ac:dyDescent="0.2">
      <c r="A7" s="4" t="s">
        <v>13</v>
      </c>
      <c r="B7" s="5">
        <f t="shared" si="1"/>
        <v>5</v>
      </c>
      <c r="C7" s="6" t="s">
        <v>14</v>
      </c>
      <c r="D7" s="5" t="str">
        <f t="shared" ca="1" si="0"/>
        <v/>
      </c>
      <c r="E7" s="7">
        <v>1200195</v>
      </c>
      <c r="F7" s="8" t="s">
        <v>17</v>
      </c>
      <c r="G7" s="11" t="s">
        <v>18</v>
      </c>
      <c r="H7" s="9">
        <v>0</v>
      </c>
      <c r="I7" s="10">
        <v>0</v>
      </c>
      <c r="J7" s="9">
        <f t="shared" si="2"/>
        <v>0</v>
      </c>
      <c r="K7" s="10">
        <f t="shared" si="3"/>
        <v>0</v>
      </c>
    </row>
    <row r="8" spans="1:11" ht="18" customHeight="1" x14ac:dyDescent="0.2">
      <c r="A8" s="4" t="s">
        <v>19</v>
      </c>
      <c r="B8" s="5">
        <f t="shared" si="1"/>
        <v>6</v>
      </c>
      <c r="C8" s="6" t="s">
        <v>20</v>
      </c>
      <c r="D8" s="5" t="str">
        <f t="shared" ca="1" si="0"/>
        <v/>
      </c>
      <c r="E8" s="7">
        <v>1000143</v>
      </c>
      <c r="F8" s="8" t="s">
        <v>21</v>
      </c>
      <c r="G8" s="11" t="s">
        <v>12</v>
      </c>
      <c r="H8" s="9">
        <v>592653.83193277323</v>
      </c>
      <c r="I8" s="10">
        <v>705258.06</v>
      </c>
      <c r="J8" s="9">
        <f t="shared" si="2"/>
        <v>770449.98151260521</v>
      </c>
      <c r="K8" s="10">
        <f t="shared" si="3"/>
        <v>916835.47800000012</v>
      </c>
    </row>
    <row r="9" spans="1:11" ht="18" customHeight="1" x14ac:dyDescent="0.2">
      <c r="A9" s="4" t="s">
        <v>22</v>
      </c>
      <c r="B9" s="5">
        <f t="shared" si="1"/>
        <v>7</v>
      </c>
      <c r="C9" s="6" t="s">
        <v>20</v>
      </c>
      <c r="D9" s="5" t="str">
        <f t="shared" ca="1" si="0"/>
        <v/>
      </c>
      <c r="E9" s="7">
        <v>1000618</v>
      </c>
      <c r="F9" s="8" t="s">
        <v>23</v>
      </c>
      <c r="G9" s="5">
        <v>12</v>
      </c>
      <c r="H9" s="9">
        <v>75740.672268907569</v>
      </c>
      <c r="I9" s="10">
        <v>90131.400000000009</v>
      </c>
      <c r="J9" s="9">
        <f t="shared" si="2"/>
        <v>98462.873949579836</v>
      </c>
      <c r="K9" s="10">
        <f t="shared" si="3"/>
        <v>117170.82</v>
      </c>
    </row>
    <row r="10" spans="1:11" ht="18" customHeight="1" x14ac:dyDescent="0.2">
      <c r="A10" s="4" t="s">
        <v>24</v>
      </c>
      <c r="B10" s="5">
        <f t="shared" si="1"/>
        <v>8</v>
      </c>
      <c r="C10" s="6" t="s">
        <v>20</v>
      </c>
      <c r="D10" s="5" t="str">
        <f t="shared" ca="1" si="0"/>
        <v/>
      </c>
      <c r="E10" s="7">
        <v>1000588</v>
      </c>
      <c r="F10" s="8" t="s">
        <v>25</v>
      </c>
      <c r="G10" s="5">
        <v>12</v>
      </c>
      <c r="H10" s="9">
        <v>66429.563025210082</v>
      </c>
      <c r="I10" s="10">
        <v>79051.179999999993</v>
      </c>
      <c r="J10" s="9">
        <f t="shared" si="2"/>
        <v>86358.431932773106</v>
      </c>
      <c r="K10" s="10">
        <f t="shared" si="3"/>
        <v>102766.53399999999</v>
      </c>
    </row>
    <row r="11" spans="1:11" ht="18" customHeight="1" x14ac:dyDescent="0.2">
      <c r="A11" s="4" t="s">
        <v>19</v>
      </c>
      <c r="B11" s="5">
        <f t="shared" si="1"/>
        <v>9</v>
      </c>
      <c r="C11" s="6" t="s">
        <v>20</v>
      </c>
      <c r="D11" s="5" t="str">
        <f t="shared" ca="1" si="0"/>
        <v/>
      </c>
      <c r="E11" s="7">
        <v>1000127</v>
      </c>
      <c r="F11" s="8" t="s">
        <v>26</v>
      </c>
      <c r="G11" s="11">
        <v>12</v>
      </c>
      <c r="H11" s="9">
        <v>48084.28571428571</v>
      </c>
      <c r="I11" s="10">
        <v>57220.299999999996</v>
      </c>
      <c r="J11" s="9">
        <f t="shared" si="2"/>
        <v>62509.571428571428</v>
      </c>
      <c r="K11" s="10">
        <f t="shared" si="3"/>
        <v>74386.39</v>
      </c>
    </row>
    <row r="12" spans="1:11" ht="18" customHeight="1" x14ac:dyDescent="0.2">
      <c r="A12" s="4" t="s">
        <v>19</v>
      </c>
      <c r="B12" s="5">
        <f t="shared" si="1"/>
        <v>10</v>
      </c>
      <c r="C12" s="6" t="s">
        <v>20</v>
      </c>
      <c r="D12" s="5" t="str">
        <f t="shared" ca="1" si="0"/>
        <v/>
      </c>
      <c r="E12" s="7">
        <v>1000130</v>
      </c>
      <c r="F12" s="8" t="s">
        <v>27</v>
      </c>
      <c r="G12" s="5">
        <v>12</v>
      </c>
      <c r="H12" s="9">
        <v>44150.506559450987</v>
      </c>
      <c r="I12" s="10">
        <v>52539.102805746668</v>
      </c>
      <c r="J12" s="9">
        <f t="shared" si="2"/>
        <v>57395.658527286287</v>
      </c>
      <c r="K12" s="10">
        <f t="shared" si="3"/>
        <v>68300.833647470674</v>
      </c>
    </row>
    <row r="13" spans="1:11" ht="18" customHeight="1" x14ac:dyDescent="0.2">
      <c r="A13" s="4" t="s">
        <v>28</v>
      </c>
      <c r="B13" s="5">
        <f t="shared" si="1"/>
        <v>11</v>
      </c>
      <c r="C13" s="6" t="s">
        <v>20</v>
      </c>
      <c r="D13" s="5" t="str">
        <f t="shared" ca="1" si="0"/>
        <v/>
      </c>
      <c r="E13" s="7">
        <v>1000135</v>
      </c>
      <c r="F13" s="8" t="s">
        <v>29</v>
      </c>
      <c r="G13" s="5">
        <v>6</v>
      </c>
      <c r="H13" s="9">
        <v>68334.747899159658</v>
      </c>
      <c r="I13" s="10">
        <v>81318.349999999991</v>
      </c>
      <c r="J13" s="9">
        <f t="shared" si="2"/>
        <v>88835.172268907554</v>
      </c>
      <c r="K13" s="10">
        <f t="shared" si="3"/>
        <v>105713.85499999998</v>
      </c>
    </row>
    <row r="14" spans="1:11" ht="18" customHeight="1" x14ac:dyDescent="0.2">
      <c r="A14" s="4" t="s">
        <v>22</v>
      </c>
      <c r="B14" s="5">
        <f t="shared" si="1"/>
        <v>12</v>
      </c>
      <c r="C14" s="6" t="s">
        <v>20</v>
      </c>
      <c r="D14" s="5" t="str">
        <f t="shared" ca="1" si="0"/>
        <v/>
      </c>
      <c r="E14" s="7">
        <v>1000897</v>
      </c>
      <c r="F14" s="8" t="s">
        <v>30</v>
      </c>
      <c r="G14" s="5" t="s">
        <v>10</v>
      </c>
      <c r="H14" s="9">
        <v>127690.71428571428</v>
      </c>
      <c r="I14" s="10">
        <v>151951.94999999998</v>
      </c>
      <c r="J14" s="9">
        <f t="shared" si="2"/>
        <v>165997.92857142855</v>
      </c>
      <c r="K14" s="10">
        <f t="shared" si="3"/>
        <v>197537.53499999997</v>
      </c>
    </row>
    <row r="15" spans="1:11" ht="18" customHeight="1" x14ac:dyDescent="0.2">
      <c r="A15" s="4" t="s">
        <v>19</v>
      </c>
      <c r="B15" s="5">
        <f t="shared" si="1"/>
        <v>13</v>
      </c>
      <c r="C15" s="6" t="s">
        <v>20</v>
      </c>
      <c r="D15" s="5" t="str">
        <f t="shared" ca="1" si="0"/>
        <v/>
      </c>
      <c r="E15" s="7">
        <v>1000139</v>
      </c>
      <c r="F15" s="8" t="s">
        <v>31</v>
      </c>
      <c r="G15" s="5" t="s">
        <v>10</v>
      </c>
      <c r="H15" s="9">
        <v>53616.352941176476</v>
      </c>
      <c r="I15" s="10">
        <v>63803.46</v>
      </c>
      <c r="J15" s="9">
        <f t="shared" si="2"/>
        <v>69701.258823529424</v>
      </c>
      <c r="K15" s="10">
        <f t="shared" si="3"/>
        <v>82944.498000000007</v>
      </c>
    </row>
    <row r="16" spans="1:11" ht="18" customHeight="1" x14ac:dyDescent="0.2">
      <c r="A16" s="4" t="s">
        <v>24</v>
      </c>
      <c r="B16" s="5">
        <f t="shared" si="1"/>
        <v>14</v>
      </c>
      <c r="C16" s="6" t="s">
        <v>20</v>
      </c>
      <c r="D16" s="5" t="str">
        <f t="shared" ca="1" si="0"/>
        <v/>
      </c>
      <c r="E16" s="7">
        <v>1000299</v>
      </c>
      <c r="F16" s="8" t="s">
        <v>32</v>
      </c>
      <c r="G16" s="5" t="s">
        <v>10</v>
      </c>
      <c r="H16" s="9">
        <v>85313.57142857142</v>
      </c>
      <c r="I16" s="10">
        <v>101523.15</v>
      </c>
      <c r="J16" s="9">
        <f t="shared" si="2"/>
        <v>110907.64285714286</v>
      </c>
      <c r="K16" s="10">
        <f t="shared" si="3"/>
        <v>131980.095</v>
      </c>
    </row>
    <row r="17" spans="1:11" ht="18" customHeight="1" x14ac:dyDescent="0.2">
      <c r="A17" s="4" t="s">
        <v>33</v>
      </c>
      <c r="B17" s="5">
        <f t="shared" si="1"/>
        <v>15</v>
      </c>
      <c r="C17" s="6" t="s">
        <v>34</v>
      </c>
      <c r="D17" s="5" t="str">
        <f t="shared" ca="1" si="0"/>
        <v/>
      </c>
      <c r="E17" s="7">
        <v>1001182</v>
      </c>
      <c r="F17" s="8" t="s">
        <v>35</v>
      </c>
      <c r="G17" s="11" t="s">
        <v>12</v>
      </c>
      <c r="H17" s="9">
        <v>1319365</v>
      </c>
      <c r="I17" s="10">
        <v>1570044.3499999999</v>
      </c>
      <c r="J17" s="9">
        <f t="shared" si="2"/>
        <v>1715174.5</v>
      </c>
      <c r="K17" s="10">
        <f t="shared" si="3"/>
        <v>2041057.6549999998</v>
      </c>
    </row>
    <row r="18" spans="1:11" ht="18" customHeight="1" x14ac:dyDescent="0.2">
      <c r="A18" s="4" t="s">
        <v>36</v>
      </c>
      <c r="B18" s="5">
        <f t="shared" si="1"/>
        <v>16</v>
      </c>
      <c r="C18" s="6" t="s">
        <v>34</v>
      </c>
      <c r="D18" s="5" t="str">
        <f t="shared" ca="1" si="0"/>
        <v/>
      </c>
      <c r="E18" s="7">
        <v>1000232</v>
      </c>
      <c r="F18" s="8" t="s">
        <v>37</v>
      </c>
      <c r="G18" s="11" t="s">
        <v>12</v>
      </c>
      <c r="H18" s="9">
        <v>641385.19327731093</v>
      </c>
      <c r="I18" s="10">
        <v>763248.38</v>
      </c>
      <c r="J18" s="9">
        <f t="shared" si="2"/>
        <v>833800.75126050424</v>
      </c>
      <c r="K18" s="10">
        <f t="shared" si="3"/>
        <v>992222.89399999997</v>
      </c>
    </row>
    <row r="19" spans="1:11" ht="18" customHeight="1" x14ac:dyDescent="0.2">
      <c r="A19" s="4" t="s">
        <v>38</v>
      </c>
      <c r="B19" s="5">
        <f t="shared" si="1"/>
        <v>17</v>
      </c>
      <c r="C19" s="6" t="s">
        <v>34</v>
      </c>
      <c r="D19" s="5" t="str">
        <f t="shared" ca="1" si="0"/>
        <v/>
      </c>
      <c r="E19" s="7">
        <v>1000045</v>
      </c>
      <c r="F19" s="8" t="s">
        <v>39</v>
      </c>
      <c r="G19" s="5">
        <v>12</v>
      </c>
      <c r="H19" s="9">
        <v>40071.999999999993</v>
      </c>
      <c r="I19" s="10">
        <v>47685.679999999993</v>
      </c>
      <c r="J19" s="9">
        <f t="shared" si="2"/>
        <v>52093.599999999991</v>
      </c>
      <c r="K19" s="10">
        <f t="shared" si="3"/>
        <v>61991.383999999984</v>
      </c>
    </row>
    <row r="20" spans="1:11" ht="18" customHeight="1" x14ac:dyDescent="0.2">
      <c r="A20" s="4" t="s">
        <v>40</v>
      </c>
      <c r="B20" s="5">
        <f t="shared" si="1"/>
        <v>18</v>
      </c>
      <c r="C20" s="6" t="s">
        <v>34</v>
      </c>
      <c r="D20" s="5" t="str">
        <f t="shared" ca="1" si="0"/>
        <v/>
      </c>
      <c r="E20" s="7">
        <v>1001205</v>
      </c>
      <c r="F20" s="8" t="s">
        <v>41</v>
      </c>
      <c r="G20" s="11">
        <v>12</v>
      </c>
      <c r="H20" s="9">
        <v>81688.067226890766</v>
      </c>
      <c r="I20" s="10">
        <v>97208.8</v>
      </c>
      <c r="J20" s="9">
        <f t="shared" si="2"/>
        <v>106194.48739495799</v>
      </c>
      <c r="K20" s="10">
        <f t="shared" si="3"/>
        <v>126371.44</v>
      </c>
    </row>
    <row r="21" spans="1:11" ht="18" customHeight="1" x14ac:dyDescent="0.2">
      <c r="A21" s="4" t="s">
        <v>42</v>
      </c>
      <c r="B21" s="5">
        <f t="shared" si="1"/>
        <v>19</v>
      </c>
      <c r="C21" s="6" t="s">
        <v>34</v>
      </c>
      <c r="D21" s="5" t="str">
        <f t="shared" ca="1" si="0"/>
        <v/>
      </c>
      <c r="E21" s="7">
        <v>1000532</v>
      </c>
      <c r="F21" s="8" t="s">
        <v>43</v>
      </c>
      <c r="G21" s="5">
        <v>12</v>
      </c>
      <c r="H21" s="9">
        <v>69684.925904652497</v>
      </c>
      <c r="I21" s="10">
        <v>82925.061826536476</v>
      </c>
      <c r="J21" s="9">
        <f t="shared" si="2"/>
        <v>90590.403676048256</v>
      </c>
      <c r="K21" s="10">
        <f t="shared" si="3"/>
        <v>107802.58037449743</v>
      </c>
    </row>
    <row r="22" spans="1:11" ht="18" customHeight="1" x14ac:dyDescent="0.2">
      <c r="A22" s="4" t="s">
        <v>44</v>
      </c>
      <c r="B22" s="5">
        <f t="shared" si="1"/>
        <v>20</v>
      </c>
      <c r="C22" s="6" t="s">
        <v>34</v>
      </c>
      <c r="D22" s="5" t="str">
        <f t="shared" ca="1" si="0"/>
        <v/>
      </c>
      <c r="E22" s="7">
        <v>1000236</v>
      </c>
      <c r="F22" s="8" t="s">
        <v>45</v>
      </c>
      <c r="G22" s="11">
        <v>12</v>
      </c>
      <c r="H22" s="9">
        <v>39566.991596638662</v>
      </c>
      <c r="I22" s="10">
        <v>47084.72</v>
      </c>
      <c r="J22" s="9">
        <f t="shared" si="2"/>
        <v>51437.089075630262</v>
      </c>
      <c r="K22" s="10">
        <f t="shared" si="3"/>
        <v>61210.136000000006</v>
      </c>
    </row>
    <row r="23" spans="1:11" ht="18" customHeight="1" x14ac:dyDescent="0.2">
      <c r="A23" s="4" t="s">
        <v>38</v>
      </c>
      <c r="B23" s="5">
        <f t="shared" si="1"/>
        <v>21</v>
      </c>
      <c r="C23" s="6" t="s">
        <v>34</v>
      </c>
      <c r="D23" s="5" t="str">
        <f t="shared" ca="1" si="0"/>
        <v/>
      </c>
      <c r="E23" s="7">
        <v>1000102</v>
      </c>
      <c r="F23" s="8" t="s">
        <v>46</v>
      </c>
      <c r="G23" s="11">
        <v>6</v>
      </c>
      <c r="H23" s="9">
        <v>69780</v>
      </c>
      <c r="I23" s="10">
        <v>83038.2</v>
      </c>
      <c r="J23" s="9">
        <f t="shared" si="2"/>
        <v>90714</v>
      </c>
      <c r="K23" s="10">
        <f t="shared" si="3"/>
        <v>107949.65999999999</v>
      </c>
    </row>
    <row r="24" spans="1:11" ht="18" customHeight="1" x14ac:dyDescent="0.2">
      <c r="A24" s="4" t="s">
        <v>44</v>
      </c>
      <c r="B24" s="5">
        <f t="shared" si="1"/>
        <v>22</v>
      </c>
      <c r="C24" s="6" t="s">
        <v>34</v>
      </c>
      <c r="D24" s="5" t="str">
        <f t="shared" ca="1" si="0"/>
        <v/>
      </c>
      <c r="E24" s="7">
        <v>1000234</v>
      </c>
      <c r="F24" s="8" t="s">
        <v>47</v>
      </c>
      <c r="G24" s="11">
        <v>6</v>
      </c>
      <c r="H24" s="9">
        <v>74225.016806722677</v>
      </c>
      <c r="I24" s="10">
        <v>88327.76999999999</v>
      </c>
      <c r="J24" s="9">
        <f t="shared" si="2"/>
        <v>96492.521848739489</v>
      </c>
      <c r="K24" s="10">
        <f t="shared" si="3"/>
        <v>114826.10099999998</v>
      </c>
    </row>
    <row r="25" spans="1:11" ht="18" customHeight="1" x14ac:dyDescent="0.2">
      <c r="A25" s="4" t="s">
        <v>38</v>
      </c>
      <c r="B25" s="5">
        <f t="shared" si="1"/>
        <v>23</v>
      </c>
      <c r="C25" s="6" t="s">
        <v>34</v>
      </c>
      <c r="D25" s="5" t="str">
        <f t="shared" ca="1" si="0"/>
        <v/>
      </c>
      <c r="E25" s="7">
        <v>1000010</v>
      </c>
      <c r="F25" s="8" t="s">
        <v>48</v>
      </c>
      <c r="G25" s="5" t="s">
        <v>10</v>
      </c>
      <c r="H25" s="9">
        <v>54471.428571428572</v>
      </c>
      <c r="I25" s="10">
        <v>64821</v>
      </c>
      <c r="J25" s="9">
        <f t="shared" si="2"/>
        <v>70812.857142857145</v>
      </c>
      <c r="K25" s="10">
        <f t="shared" si="3"/>
        <v>84267.3</v>
      </c>
    </row>
    <row r="26" spans="1:11" ht="18" customHeight="1" x14ac:dyDescent="0.2">
      <c r="A26" s="4" t="s">
        <v>36</v>
      </c>
      <c r="B26" s="5">
        <f t="shared" si="1"/>
        <v>24</v>
      </c>
      <c r="C26" s="6" t="s">
        <v>34</v>
      </c>
      <c r="D26" s="5" t="str">
        <f t="shared" ca="1" si="0"/>
        <v/>
      </c>
      <c r="E26" s="7">
        <v>1000233</v>
      </c>
      <c r="F26" s="8" t="s">
        <v>49</v>
      </c>
      <c r="G26" s="5" t="s">
        <v>10</v>
      </c>
      <c r="H26" s="9">
        <v>66246.722689075643</v>
      </c>
      <c r="I26" s="10">
        <v>78833.600000000006</v>
      </c>
      <c r="J26" s="9">
        <f t="shared" si="2"/>
        <v>86120.739495798334</v>
      </c>
      <c r="K26" s="10">
        <f t="shared" si="3"/>
        <v>102483.68000000001</v>
      </c>
    </row>
    <row r="27" spans="1:11" ht="18" customHeight="1" x14ac:dyDescent="0.2">
      <c r="A27" s="4" t="s">
        <v>50</v>
      </c>
      <c r="B27" s="5">
        <f t="shared" si="1"/>
        <v>25</v>
      </c>
      <c r="C27" s="6" t="s">
        <v>51</v>
      </c>
      <c r="D27" s="5" t="str">
        <f t="shared" ca="1" si="0"/>
        <v/>
      </c>
      <c r="E27" s="7">
        <v>1400090</v>
      </c>
      <c r="F27" s="8" t="s">
        <v>52</v>
      </c>
      <c r="G27" s="11">
        <v>12</v>
      </c>
      <c r="H27" s="9">
        <v>26789.831932773111</v>
      </c>
      <c r="I27" s="10">
        <v>31879.9</v>
      </c>
      <c r="J27" s="9">
        <f t="shared" si="2"/>
        <v>34826.781512605048</v>
      </c>
      <c r="K27" s="10">
        <f t="shared" si="3"/>
        <v>41443.870000000003</v>
      </c>
    </row>
    <row r="28" spans="1:11" ht="18" customHeight="1" x14ac:dyDescent="0.2">
      <c r="A28" s="4" t="s">
        <v>53</v>
      </c>
      <c r="B28" s="5">
        <f t="shared" si="1"/>
        <v>26</v>
      </c>
      <c r="C28" s="6" t="s">
        <v>54</v>
      </c>
      <c r="D28" s="5" t="str">
        <f t="shared" ca="1" si="0"/>
        <v/>
      </c>
      <c r="E28" s="7">
        <v>1200009</v>
      </c>
      <c r="F28" s="8" t="s">
        <v>55</v>
      </c>
      <c r="G28" s="5">
        <v>6</v>
      </c>
      <c r="H28" s="9">
        <v>10994.857142857143</v>
      </c>
      <c r="I28" s="10">
        <v>13083.88</v>
      </c>
      <c r="J28" s="9">
        <f t="shared" si="2"/>
        <v>14293.314285714287</v>
      </c>
      <c r="K28" s="10">
        <f t="shared" si="3"/>
        <v>17009.044000000002</v>
      </c>
    </row>
    <row r="29" spans="1:11" ht="18" customHeight="1" x14ac:dyDescent="0.2">
      <c r="A29" s="4" t="s">
        <v>56</v>
      </c>
      <c r="B29" s="5">
        <f t="shared" si="1"/>
        <v>27</v>
      </c>
      <c r="C29" s="6" t="s">
        <v>54</v>
      </c>
      <c r="D29" s="5" t="str">
        <f t="shared" ca="1" si="0"/>
        <v/>
      </c>
      <c r="E29" s="7">
        <v>1200035</v>
      </c>
      <c r="F29" s="8" t="s">
        <v>57</v>
      </c>
      <c r="G29" s="5">
        <v>6</v>
      </c>
      <c r="H29" s="9">
        <v>10823.319327731093</v>
      </c>
      <c r="I29" s="10">
        <v>12879.75</v>
      </c>
      <c r="J29" s="9">
        <f t="shared" si="2"/>
        <v>14070.315126050422</v>
      </c>
      <c r="K29" s="10">
        <f t="shared" si="3"/>
        <v>16743.675000000003</v>
      </c>
    </row>
    <row r="30" spans="1:11" ht="18" customHeight="1" x14ac:dyDescent="0.2">
      <c r="A30" s="4" t="s">
        <v>53</v>
      </c>
      <c r="B30" s="5">
        <f t="shared" si="1"/>
        <v>28</v>
      </c>
      <c r="C30" s="6" t="s">
        <v>54</v>
      </c>
      <c r="D30" s="5" t="str">
        <f t="shared" ca="1" si="0"/>
        <v/>
      </c>
      <c r="E30" s="7">
        <v>1200033</v>
      </c>
      <c r="F30" s="8" t="s">
        <v>58</v>
      </c>
      <c r="G30" s="11" t="s">
        <v>10</v>
      </c>
      <c r="H30" s="9">
        <v>8419.495798319329</v>
      </c>
      <c r="I30" s="10">
        <v>10019.200000000001</v>
      </c>
      <c r="J30" s="9">
        <f t="shared" si="2"/>
        <v>10945.344537815128</v>
      </c>
      <c r="K30" s="10">
        <f t="shared" si="3"/>
        <v>13024.960000000003</v>
      </c>
    </row>
    <row r="31" spans="1:11" ht="18" customHeight="1" x14ac:dyDescent="0.2">
      <c r="A31" s="4" t="s">
        <v>59</v>
      </c>
      <c r="B31" s="5">
        <f t="shared" si="1"/>
        <v>29</v>
      </c>
      <c r="C31" s="6" t="s">
        <v>60</v>
      </c>
      <c r="D31" s="5" t="str">
        <f t="shared" ca="1" si="0"/>
        <v/>
      </c>
      <c r="E31" s="7">
        <v>1000017</v>
      </c>
      <c r="F31" s="8" t="s">
        <v>61</v>
      </c>
      <c r="G31" s="11" t="s">
        <v>12</v>
      </c>
      <c r="H31" s="9">
        <v>701885.79831932776</v>
      </c>
      <c r="I31" s="10">
        <v>835244.1</v>
      </c>
      <c r="J31" s="9">
        <f t="shared" si="2"/>
        <v>912451.53781512612</v>
      </c>
      <c r="K31" s="10">
        <f t="shared" si="3"/>
        <v>1085817.33</v>
      </c>
    </row>
    <row r="32" spans="1:11" ht="18" customHeight="1" x14ac:dyDescent="0.2">
      <c r="A32" s="4" t="s">
        <v>59</v>
      </c>
      <c r="B32" s="5">
        <f t="shared" si="1"/>
        <v>30</v>
      </c>
      <c r="C32" s="6" t="s">
        <v>60</v>
      </c>
      <c r="D32" s="5" t="str">
        <f t="shared" ca="1" si="0"/>
        <v/>
      </c>
      <c r="E32" s="7">
        <v>1000009</v>
      </c>
      <c r="F32" s="8" t="s">
        <v>62</v>
      </c>
      <c r="G32" s="5" t="s">
        <v>10</v>
      </c>
      <c r="H32" s="9">
        <v>70759.663865546216</v>
      </c>
      <c r="I32" s="10">
        <v>84204</v>
      </c>
      <c r="J32" s="9">
        <f t="shared" si="2"/>
        <v>91987.563025210082</v>
      </c>
      <c r="K32" s="10">
        <f t="shared" si="3"/>
        <v>109465.2</v>
      </c>
    </row>
    <row r="33" spans="1:11" ht="18" customHeight="1" x14ac:dyDescent="0.2">
      <c r="A33" s="4" t="s">
        <v>63</v>
      </c>
      <c r="B33" s="5">
        <f t="shared" si="1"/>
        <v>31</v>
      </c>
      <c r="C33" s="6" t="s">
        <v>64</v>
      </c>
      <c r="D33" s="5" t="str">
        <f t="shared" ca="1" si="0"/>
        <v/>
      </c>
      <c r="E33" s="7">
        <v>1200095</v>
      </c>
      <c r="F33" s="8" t="s">
        <v>65</v>
      </c>
      <c r="G33" s="11" t="s">
        <v>12</v>
      </c>
      <c r="H33" s="9">
        <v>334536.4705882353</v>
      </c>
      <c r="I33" s="10">
        <v>398098.4</v>
      </c>
      <c r="J33" s="9">
        <f t="shared" si="2"/>
        <v>434897.4117647059</v>
      </c>
      <c r="K33" s="10">
        <f t="shared" si="3"/>
        <v>517527.92</v>
      </c>
    </row>
    <row r="34" spans="1:11" ht="18" customHeight="1" x14ac:dyDescent="0.2">
      <c r="A34" s="4" t="s">
        <v>66</v>
      </c>
      <c r="B34" s="5">
        <f t="shared" si="1"/>
        <v>32</v>
      </c>
      <c r="C34" s="6" t="s">
        <v>64</v>
      </c>
      <c r="D34" s="5" t="str">
        <f t="shared" ca="1" si="0"/>
        <v/>
      </c>
      <c r="E34" s="7">
        <v>1200097</v>
      </c>
      <c r="F34" s="8" t="s">
        <v>67</v>
      </c>
      <c r="G34" s="11" t="s">
        <v>12</v>
      </c>
      <c r="H34" s="9">
        <v>284302.52100840339</v>
      </c>
      <c r="I34" s="10">
        <v>338320</v>
      </c>
      <c r="J34" s="9">
        <f t="shared" si="2"/>
        <v>369593.27731092443</v>
      </c>
      <c r="K34" s="10">
        <f t="shared" si="3"/>
        <v>439816.00000000006</v>
      </c>
    </row>
    <row r="35" spans="1:11" ht="18" customHeight="1" x14ac:dyDescent="0.2">
      <c r="A35" s="4" t="s">
        <v>68</v>
      </c>
      <c r="B35" s="5">
        <f t="shared" si="1"/>
        <v>33</v>
      </c>
      <c r="C35" s="6" t="s">
        <v>64</v>
      </c>
      <c r="D35" s="5" t="str">
        <f t="shared" ca="1" si="0"/>
        <v/>
      </c>
      <c r="E35" s="7">
        <v>1200235</v>
      </c>
      <c r="F35" s="8" t="s">
        <v>69</v>
      </c>
      <c r="G35" s="5">
        <v>6</v>
      </c>
      <c r="H35" s="9">
        <v>39627.428571428565</v>
      </c>
      <c r="I35" s="10">
        <v>47156.639999999992</v>
      </c>
      <c r="J35" s="9">
        <f t="shared" si="2"/>
        <v>51515.657142857133</v>
      </c>
      <c r="K35" s="10">
        <f t="shared" si="3"/>
        <v>61303.631999999983</v>
      </c>
    </row>
    <row r="36" spans="1:11" ht="18" customHeight="1" x14ac:dyDescent="0.2">
      <c r="A36" s="4" t="s">
        <v>63</v>
      </c>
      <c r="B36" s="5">
        <f t="shared" si="1"/>
        <v>34</v>
      </c>
      <c r="C36" s="6" t="s">
        <v>64</v>
      </c>
      <c r="D36" s="5" t="str">
        <f t="shared" ca="1" si="0"/>
        <v/>
      </c>
      <c r="E36" s="7">
        <v>1200092</v>
      </c>
      <c r="F36" s="8" t="s">
        <v>70</v>
      </c>
      <c r="G36" s="5">
        <v>6</v>
      </c>
      <c r="H36" s="9">
        <v>51046.722689075636</v>
      </c>
      <c r="I36" s="10">
        <v>60745.600000000006</v>
      </c>
      <c r="J36" s="9">
        <f t="shared" si="2"/>
        <v>66360.739495798334</v>
      </c>
      <c r="K36" s="10">
        <f t="shared" si="3"/>
        <v>78969.280000000013</v>
      </c>
    </row>
    <row r="37" spans="1:11" ht="18" customHeight="1" x14ac:dyDescent="0.2">
      <c r="A37" s="4" t="s">
        <v>71</v>
      </c>
      <c r="B37" s="5">
        <f t="shared" si="1"/>
        <v>35</v>
      </c>
      <c r="C37" s="6" t="s">
        <v>64</v>
      </c>
      <c r="D37" s="5" t="str">
        <f t="shared" ca="1" si="0"/>
        <v/>
      </c>
      <c r="E37" s="7">
        <v>1200083</v>
      </c>
      <c r="F37" s="8" t="s">
        <v>72</v>
      </c>
      <c r="G37" s="5">
        <v>6</v>
      </c>
      <c r="H37" s="9">
        <v>39068</v>
      </c>
      <c r="I37" s="10">
        <v>46490.92</v>
      </c>
      <c r="J37" s="9">
        <f t="shared" si="2"/>
        <v>50788.4</v>
      </c>
      <c r="K37" s="10">
        <f t="shared" si="3"/>
        <v>60438.195999999996</v>
      </c>
    </row>
    <row r="38" spans="1:11" ht="18" customHeight="1" x14ac:dyDescent="0.2">
      <c r="A38" s="4" t="s">
        <v>73</v>
      </c>
      <c r="B38" s="5">
        <f t="shared" si="1"/>
        <v>36</v>
      </c>
      <c r="C38" s="6" t="s">
        <v>64</v>
      </c>
      <c r="D38" s="5" t="str">
        <f t="shared" ca="1" si="0"/>
        <v/>
      </c>
      <c r="E38" s="7">
        <v>1200079</v>
      </c>
      <c r="F38" s="8" t="s">
        <v>74</v>
      </c>
      <c r="G38" s="5">
        <v>6</v>
      </c>
      <c r="H38" s="9">
        <v>36170.36974789916</v>
      </c>
      <c r="I38" s="10">
        <v>43042.74</v>
      </c>
      <c r="J38" s="9">
        <f t="shared" si="2"/>
        <v>47021.48067226891</v>
      </c>
      <c r="K38" s="10">
        <f t="shared" si="3"/>
        <v>55955.561999999998</v>
      </c>
    </row>
    <row r="39" spans="1:11" ht="18" customHeight="1" x14ac:dyDescent="0.2">
      <c r="A39" s="4" t="s">
        <v>66</v>
      </c>
      <c r="B39" s="5">
        <f t="shared" si="1"/>
        <v>37</v>
      </c>
      <c r="C39" s="6" t="s">
        <v>64</v>
      </c>
      <c r="D39" s="5" t="str">
        <f t="shared" ca="1" si="0"/>
        <v/>
      </c>
      <c r="E39" s="7">
        <v>1200105</v>
      </c>
      <c r="F39" s="8" t="s">
        <v>75</v>
      </c>
      <c r="G39" s="11">
        <v>6</v>
      </c>
      <c r="H39" s="9">
        <v>39393.142857142855</v>
      </c>
      <c r="I39" s="10">
        <v>46877.84</v>
      </c>
      <c r="J39" s="9">
        <f t="shared" si="2"/>
        <v>51211.085714285713</v>
      </c>
      <c r="K39" s="10">
        <f t="shared" si="3"/>
        <v>60941.191999999995</v>
      </c>
    </row>
    <row r="40" spans="1:11" ht="18" customHeight="1" x14ac:dyDescent="0.2">
      <c r="A40" s="4" t="s">
        <v>76</v>
      </c>
      <c r="B40" s="5">
        <f t="shared" si="1"/>
        <v>38</v>
      </c>
      <c r="C40" s="6" t="s">
        <v>64</v>
      </c>
      <c r="D40" s="5" t="str">
        <f t="shared" ca="1" si="0"/>
        <v/>
      </c>
      <c r="E40" s="7">
        <v>1200085</v>
      </c>
      <c r="F40" s="8" t="s">
        <v>77</v>
      </c>
      <c r="G40" s="5">
        <v>4</v>
      </c>
      <c r="H40" s="9">
        <v>35584.537815126059</v>
      </c>
      <c r="I40" s="10">
        <v>42345.600000000006</v>
      </c>
      <c r="J40" s="9">
        <f t="shared" si="2"/>
        <v>46259.899159663881</v>
      </c>
      <c r="K40" s="10">
        <f t="shared" si="3"/>
        <v>55049.280000000013</v>
      </c>
    </row>
    <row r="41" spans="1:11" ht="18" customHeight="1" x14ac:dyDescent="0.2">
      <c r="A41" s="4" t="s">
        <v>63</v>
      </c>
      <c r="B41" s="5">
        <f t="shared" si="1"/>
        <v>39</v>
      </c>
      <c r="C41" s="6" t="s">
        <v>64</v>
      </c>
      <c r="D41" s="5" t="str">
        <f t="shared" ca="1" si="0"/>
        <v/>
      </c>
      <c r="E41" s="7">
        <v>1200094</v>
      </c>
      <c r="F41" s="8" t="s">
        <v>78</v>
      </c>
      <c r="G41" s="5" t="s">
        <v>10</v>
      </c>
      <c r="H41" s="9">
        <v>33430.28571428571</v>
      </c>
      <c r="I41" s="10">
        <v>39782.039999999994</v>
      </c>
      <c r="J41" s="9">
        <f t="shared" si="2"/>
        <v>43459.371428571423</v>
      </c>
      <c r="K41" s="10">
        <f t="shared" si="3"/>
        <v>51716.651999999995</v>
      </c>
    </row>
    <row r="42" spans="1:11" ht="18" customHeight="1" x14ac:dyDescent="0.2">
      <c r="A42" s="4" t="s">
        <v>79</v>
      </c>
      <c r="B42" s="5">
        <f t="shared" si="1"/>
        <v>40</v>
      </c>
      <c r="C42" s="6" t="s">
        <v>80</v>
      </c>
      <c r="D42" s="5" t="str">
        <f t="shared" ca="1" si="0"/>
        <v/>
      </c>
      <c r="E42" s="7">
        <v>1000471</v>
      </c>
      <c r="F42" s="8" t="s">
        <v>81</v>
      </c>
      <c r="G42" s="11" t="s">
        <v>12</v>
      </c>
      <c r="H42" s="9">
        <v>632161.43697479006</v>
      </c>
      <c r="I42" s="10">
        <v>752272.1100000001</v>
      </c>
      <c r="J42" s="9">
        <f t="shared" si="2"/>
        <v>821809.86806722707</v>
      </c>
      <c r="K42" s="10">
        <f t="shared" si="3"/>
        <v>977953.74300000013</v>
      </c>
    </row>
    <row r="43" spans="1:11" ht="18" customHeight="1" x14ac:dyDescent="0.2">
      <c r="B43" s="5">
        <f t="shared" si="1"/>
        <v>41</v>
      </c>
      <c r="C43" s="6" t="s">
        <v>80</v>
      </c>
      <c r="D43" s="5" t="str">
        <f t="shared" ca="1" si="0"/>
        <v/>
      </c>
      <c r="E43" s="7">
        <v>1000839</v>
      </c>
      <c r="F43" s="8" t="s">
        <v>82</v>
      </c>
      <c r="G43" s="11" t="s">
        <v>12</v>
      </c>
      <c r="H43" s="9">
        <v>529760</v>
      </c>
      <c r="I43" s="10">
        <v>630414.4</v>
      </c>
      <c r="J43" s="9">
        <f t="shared" si="2"/>
        <v>688688</v>
      </c>
      <c r="K43" s="10">
        <f t="shared" si="3"/>
        <v>819538.72</v>
      </c>
    </row>
    <row r="44" spans="1:11" ht="18" customHeight="1" x14ac:dyDescent="0.2">
      <c r="A44" s="4" t="s">
        <v>79</v>
      </c>
      <c r="B44" s="5">
        <f t="shared" si="1"/>
        <v>42</v>
      </c>
      <c r="C44" s="6" t="s">
        <v>80</v>
      </c>
      <c r="D44" s="5" t="str">
        <f t="shared" ca="1" si="0"/>
        <v/>
      </c>
      <c r="E44" s="7">
        <v>1000469</v>
      </c>
      <c r="F44" s="8" t="s">
        <v>83</v>
      </c>
      <c r="G44" s="11" t="s">
        <v>12</v>
      </c>
      <c r="H44" s="9">
        <v>690173.32773109246</v>
      </c>
      <c r="I44" s="10">
        <v>821306.26</v>
      </c>
      <c r="J44" s="9">
        <f t="shared" si="2"/>
        <v>897225.32605042018</v>
      </c>
      <c r="K44" s="10">
        <f t="shared" si="3"/>
        <v>1067698.138</v>
      </c>
    </row>
    <row r="45" spans="1:11" ht="18" customHeight="1" x14ac:dyDescent="0.2">
      <c r="A45" t="s">
        <v>84</v>
      </c>
      <c r="B45" s="5">
        <f t="shared" si="1"/>
        <v>43</v>
      </c>
      <c r="C45" s="6" t="s">
        <v>80</v>
      </c>
      <c r="D45" s="5" t="str">
        <f t="shared" ca="1" si="0"/>
        <v/>
      </c>
      <c r="E45" s="7">
        <v>1000412</v>
      </c>
      <c r="F45" s="8" t="s">
        <v>85</v>
      </c>
      <c r="G45" s="11" t="s">
        <v>12</v>
      </c>
      <c r="H45" s="9">
        <v>565211.39495798317</v>
      </c>
      <c r="I45" s="10">
        <v>672601.55999999994</v>
      </c>
      <c r="J45" s="9">
        <f t="shared" si="2"/>
        <v>734774.81344537809</v>
      </c>
      <c r="K45" s="10">
        <f t="shared" si="3"/>
        <v>874382.02799999993</v>
      </c>
    </row>
    <row r="46" spans="1:11" ht="18" customHeight="1" x14ac:dyDescent="0.2">
      <c r="A46" t="s">
        <v>84</v>
      </c>
      <c r="B46" s="5">
        <f t="shared" si="1"/>
        <v>44</v>
      </c>
      <c r="C46" s="6" t="s">
        <v>80</v>
      </c>
      <c r="D46" s="5" t="str">
        <f t="shared" ca="1" si="0"/>
        <v/>
      </c>
      <c r="E46" s="7">
        <v>1000407</v>
      </c>
      <c r="F46" s="8" t="s">
        <v>86</v>
      </c>
      <c r="G46" s="5">
        <v>12</v>
      </c>
      <c r="H46" s="9">
        <v>42829.831932773108</v>
      </c>
      <c r="I46" s="10">
        <v>50967.5</v>
      </c>
      <c r="J46" s="9">
        <f t="shared" si="2"/>
        <v>55678.781512605041</v>
      </c>
      <c r="K46" s="10">
        <f t="shared" si="3"/>
        <v>66257.75</v>
      </c>
    </row>
    <row r="47" spans="1:11" ht="18" customHeight="1" x14ac:dyDescent="0.2">
      <c r="A47" t="s">
        <v>84</v>
      </c>
      <c r="B47" s="5">
        <f t="shared" si="1"/>
        <v>45</v>
      </c>
      <c r="C47" s="6" t="s">
        <v>80</v>
      </c>
      <c r="D47" s="5" t="str">
        <f t="shared" ca="1" si="0"/>
        <v/>
      </c>
      <c r="E47" s="7">
        <v>1000409</v>
      </c>
      <c r="F47" s="8" t="s">
        <v>87</v>
      </c>
      <c r="G47" s="5">
        <v>6</v>
      </c>
      <c r="H47" s="9">
        <v>73017.226890756312</v>
      </c>
      <c r="I47" s="10">
        <v>86890.5</v>
      </c>
      <c r="J47" s="9">
        <f t="shared" si="2"/>
        <v>94922.394957983211</v>
      </c>
      <c r="K47" s="10">
        <f t="shared" si="3"/>
        <v>112957.65000000002</v>
      </c>
    </row>
    <row r="48" spans="1:11" ht="18" customHeight="1" x14ac:dyDescent="0.2">
      <c r="A48" s="4" t="s">
        <v>79</v>
      </c>
      <c r="B48" s="5">
        <f t="shared" si="1"/>
        <v>46</v>
      </c>
      <c r="C48" s="6" t="s">
        <v>80</v>
      </c>
      <c r="D48" s="5" t="str">
        <f t="shared" ca="1" si="0"/>
        <v/>
      </c>
      <c r="E48" s="7">
        <v>1000649</v>
      </c>
      <c r="F48" s="8" t="s">
        <v>88</v>
      </c>
      <c r="G48" s="5" t="s">
        <v>10</v>
      </c>
      <c r="H48" s="9">
        <v>68652.857142857145</v>
      </c>
      <c r="I48" s="10">
        <v>81696.899999999994</v>
      </c>
      <c r="J48" s="9">
        <f t="shared" si="2"/>
        <v>89248.71428571429</v>
      </c>
      <c r="K48" s="10">
        <f t="shared" si="3"/>
        <v>106205.97</v>
      </c>
    </row>
    <row r="49" spans="1:11" ht="18" customHeight="1" x14ac:dyDescent="0.2">
      <c r="A49" s="4" t="s">
        <v>79</v>
      </c>
      <c r="B49" s="5">
        <f t="shared" si="1"/>
        <v>47</v>
      </c>
      <c r="C49" s="6" t="s">
        <v>80</v>
      </c>
      <c r="D49" s="5" t="str">
        <f t="shared" ca="1" si="0"/>
        <v/>
      </c>
      <c r="E49" s="7">
        <v>1000964</v>
      </c>
      <c r="F49" s="8" t="s">
        <v>89</v>
      </c>
      <c r="G49" s="5" t="s">
        <v>10</v>
      </c>
      <c r="H49" s="9">
        <v>70990</v>
      </c>
      <c r="I49" s="10">
        <v>84478.099999999991</v>
      </c>
      <c r="J49" s="9">
        <f t="shared" si="2"/>
        <v>92287</v>
      </c>
      <c r="K49" s="10">
        <f t="shared" si="3"/>
        <v>109821.53</v>
      </c>
    </row>
    <row r="50" spans="1:11" ht="18" customHeight="1" x14ac:dyDescent="0.2">
      <c r="B50" s="5">
        <f t="shared" si="1"/>
        <v>48</v>
      </c>
      <c r="C50" s="6" t="s">
        <v>80</v>
      </c>
      <c r="D50" s="5" t="str">
        <f t="shared" ca="1" si="0"/>
        <v/>
      </c>
      <c r="E50" s="7">
        <v>1000840</v>
      </c>
      <c r="F50" s="8" t="s">
        <v>90</v>
      </c>
      <c r="G50" s="5" t="s">
        <v>10</v>
      </c>
      <c r="H50" s="9">
        <v>47401.680672268907</v>
      </c>
      <c r="I50" s="10">
        <v>56408</v>
      </c>
      <c r="J50" s="9">
        <f t="shared" si="2"/>
        <v>61622.184873949584</v>
      </c>
      <c r="K50" s="10">
        <f t="shared" si="3"/>
        <v>73330.399999999994</v>
      </c>
    </row>
    <row r="51" spans="1:11" ht="18" customHeight="1" x14ac:dyDescent="0.2">
      <c r="A51" s="4" t="s">
        <v>91</v>
      </c>
      <c r="B51" s="5">
        <f t="shared" si="1"/>
        <v>49</v>
      </c>
      <c r="C51" s="6" t="s">
        <v>80</v>
      </c>
      <c r="D51" s="5" t="str">
        <f t="shared" ca="1" si="0"/>
        <v/>
      </c>
      <c r="E51" s="7">
        <v>1000470</v>
      </c>
      <c r="F51" s="8" t="s">
        <v>92</v>
      </c>
      <c r="G51" s="5" t="s">
        <v>10</v>
      </c>
      <c r="H51" s="9">
        <v>69561.008403361353</v>
      </c>
      <c r="I51" s="10">
        <v>82777.600000000006</v>
      </c>
      <c r="J51" s="9">
        <f t="shared" si="2"/>
        <v>90429.310924369769</v>
      </c>
      <c r="K51" s="10">
        <f t="shared" si="3"/>
        <v>107610.88000000002</v>
      </c>
    </row>
    <row r="52" spans="1:11" ht="18" customHeight="1" x14ac:dyDescent="0.2">
      <c r="A52" t="s">
        <v>84</v>
      </c>
      <c r="B52" s="5">
        <f t="shared" si="1"/>
        <v>50</v>
      </c>
      <c r="C52" s="6" t="s">
        <v>80</v>
      </c>
      <c r="D52" s="5" t="str">
        <f t="shared" ca="1" si="0"/>
        <v/>
      </c>
      <c r="E52" s="7">
        <v>1000411</v>
      </c>
      <c r="F52" s="8" t="s">
        <v>93</v>
      </c>
      <c r="G52" s="5" t="s">
        <v>10</v>
      </c>
      <c r="H52" s="9">
        <v>56012.394957983197</v>
      </c>
      <c r="I52" s="10">
        <v>66654.75</v>
      </c>
      <c r="J52" s="9">
        <f t="shared" si="2"/>
        <v>72816.113445378156</v>
      </c>
      <c r="K52" s="10">
        <f t="shared" si="3"/>
        <v>86651.175000000003</v>
      </c>
    </row>
    <row r="53" spans="1:11" ht="18" customHeight="1" x14ac:dyDescent="0.2">
      <c r="A53" s="4" t="s">
        <v>94</v>
      </c>
      <c r="B53" s="5">
        <f t="shared" si="1"/>
        <v>51</v>
      </c>
      <c r="C53" s="6" t="s">
        <v>80</v>
      </c>
      <c r="D53" s="5" t="str">
        <f t="shared" ca="1" si="0"/>
        <v/>
      </c>
      <c r="E53" s="7">
        <v>1000452</v>
      </c>
      <c r="F53" s="8" t="s">
        <v>95</v>
      </c>
      <c r="G53" s="11" t="s">
        <v>10</v>
      </c>
      <c r="H53" s="9">
        <v>65193.571428571428</v>
      </c>
      <c r="I53" s="10">
        <v>77580.349999999991</v>
      </c>
      <c r="J53" s="9">
        <f t="shared" si="2"/>
        <v>84751.642857142855</v>
      </c>
      <c r="K53" s="10">
        <f t="shared" si="3"/>
        <v>100854.45499999999</v>
      </c>
    </row>
    <row r="54" spans="1:11" ht="18" customHeight="1" x14ac:dyDescent="0.2">
      <c r="A54" s="4" t="s">
        <v>94</v>
      </c>
      <c r="B54" s="5">
        <f t="shared" si="1"/>
        <v>52</v>
      </c>
      <c r="C54" s="6" t="s">
        <v>80</v>
      </c>
      <c r="D54" s="5" t="str">
        <f t="shared" ca="1" si="0"/>
        <v/>
      </c>
      <c r="E54" s="7">
        <v>1000444</v>
      </c>
      <c r="F54" s="8" t="s">
        <v>96</v>
      </c>
      <c r="G54" s="11" t="s">
        <v>12</v>
      </c>
      <c r="H54" s="9">
        <v>594178.57142857148</v>
      </c>
      <c r="I54" s="10">
        <v>707072.5</v>
      </c>
      <c r="J54" s="9">
        <f t="shared" si="2"/>
        <v>772432.14285714296</v>
      </c>
      <c r="K54" s="10">
        <f t="shared" si="3"/>
        <v>919194.25000000012</v>
      </c>
    </row>
    <row r="55" spans="1:11" ht="18" customHeight="1" x14ac:dyDescent="0.2">
      <c r="A55" t="s">
        <v>97</v>
      </c>
      <c r="B55" s="5">
        <f t="shared" si="1"/>
        <v>53</v>
      </c>
      <c r="C55" s="6" t="s">
        <v>98</v>
      </c>
      <c r="D55" s="5" t="str">
        <f t="shared" ca="1" si="0"/>
        <v/>
      </c>
      <c r="E55" s="7">
        <v>1000541</v>
      </c>
      <c r="F55" s="8" t="s">
        <v>99</v>
      </c>
      <c r="G55" s="11" t="s">
        <v>12</v>
      </c>
      <c r="H55" s="9">
        <v>625238.99159663869</v>
      </c>
      <c r="I55" s="10">
        <v>744034.4</v>
      </c>
      <c r="J55" s="9">
        <f t="shared" si="2"/>
        <v>812810.68907563027</v>
      </c>
      <c r="K55" s="10">
        <f t="shared" si="3"/>
        <v>967244.72</v>
      </c>
    </row>
    <row r="56" spans="1:11" ht="18" customHeight="1" x14ac:dyDescent="0.2">
      <c r="A56" s="4" t="s">
        <v>100</v>
      </c>
      <c r="B56" s="5">
        <f t="shared" si="1"/>
        <v>54</v>
      </c>
      <c r="C56" s="6" t="s">
        <v>98</v>
      </c>
      <c r="D56" s="5" t="str">
        <f t="shared" ca="1" si="0"/>
        <v/>
      </c>
      <c r="E56" s="7">
        <v>1000545</v>
      </c>
      <c r="F56" s="8" t="s">
        <v>101</v>
      </c>
      <c r="G56" s="11" t="s">
        <v>12</v>
      </c>
      <c r="H56" s="9">
        <v>677352.87394957989</v>
      </c>
      <c r="I56" s="10">
        <v>806049.92</v>
      </c>
      <c r="J56" s="9">
        <f t="shared" si="2"/>
        <v>880558.73613445391</v>
      </c>
      <c r="K56" s="10">
        <f t="shared" si="3"/>
        <v>1047864.8960000001</v>
      </c>
    </row>
    <row r="57" spans="1:11" ht="18" customHeight="1" x14ac:dyDescent="0.2">
      <c r="A57" t="s">
        <v>97</v>
      </c>
      <c r="B57" s="5">
        <f t="shared" si="1"/>
        <v>55</v>
      </c>
      <c r="C57" s="6" t="s">
        <v>98</v>
      </c>
      <c r="D57" s="5" t="str">
        <f t="shared" ca="1" si="0"/>
        <v/>
      </c>
      <c r="E57" s="7">
        <v>1000558</v>
      </c>
      <c r="F57" s="8" t="s">
        <v>102</v>
      </c>
      <c r="G57" s="11">
        <v>12</v>
      </c>
      <c r="H57" s="9">
        <v>43428.134453781509</v>
      </c>
      <c r="I57" s="10">
        <v>51679.479999999996</v>
      </c>
      <c r="J57" s="9">
        <f t="shared" si="2"/>
        <v>56456.574789915961</v>
      </c>
      <c r="K57" s="10">
        <f t="shared" si="3"/>
        <v>67183.323999999993</v>
      </c>
    </row>
    <row r="58" spans="1:11" ht="18" customHeight="1" x14ac:dyDescent="0.2">
      <c r="A58" t="s">
        <v>97</v>
      </c>
      <c r="B58" s="5">
        <f t="shared" si="1"/>
        <v>56</v>
      </c>
      <c r="C58" s="6" t="s">
        <v>98</v>
      </c>
      <c r="D58" s="5" t="str">
        <f t="shared" ca="1" si="0"/>
        <v/>
      </c>
      <c r="E58" s="7">
        <v>1000554</v>
      </c>
      <c r="F58" s="8" t="s">
        <v>103</v>
      </c>
      <c r="G58" s="5">
        <v>12</v>
      </c>
      <c r="H58" s="9">
        <v>42094.008403361346</v>
      </c>
      <c r="I58" s="10">
        <v>50091.869999999995</v>
      </c>
      <c r="J58" s="9">
        <f t="shared" si="2"/>
        <v>54722.210924369749</v>
      </c>
      <c r="K58" s="10">
        <f t="shared" si="3"/>
        <v>65119.430999999997</v>
      </c>
    </row>
    <row r="59" spans="1:11" ht="18" customHeight="1" x14ac:dyDescent="0.2">
      <c r="A59" s="4" t="s">
        <v>104</v>
      </c>
      <c r="B59" s="5">
        <f t="shared" si="1"/>
        <v>57</v>
      </c>
      <c r="C59" s="6" t="s">
        <v>98</v>
      </c>
      <c r="D59" s="5" t="str">
        <f t="shared" ca="1" si="0"/>
        <v/>
      </c>
      <c r="E59" s="7">
        <v>1000350</v>
      </c>
      <c r="F59" s="8" t="s">
        <v>105</v>
      </c>
      <c r="G59" s="5">
        <v>12</v>
      </c>
      <c r="H59" s="9">
        <v>44904.201680672268</v>
      </c>
      <c r="I59" s="10">
        <v>53436</v>
      </c>
      <c r="J59" s="9">
        <f t="shared" si="2"/>
        <v>58375.462184873948</v>
      </c>
      <c r="K59" s="10">
        <f t="shared" si="3"/>
        <v>69466.799999999988</v>
      </c>
    </row>
    <row r="60" spans="1:11" ht="18" customHeight="1" x14ac:dyDescent="0.2">
      <c r="B60" s="5">
        <f t="shared" si="1"/>
        <v>58</v>
      </c>
      <c r="C60" s="6" t="s">
        <v>98</v>
      </c>
      <c r="D60" s="5" t="str">
        <f t="shared" ca="1" si="0"/>
        <v/>
      </c>
      <c r="E60" s="7">
        <v>1000600</v>
      </c>
      <c r="F60" s="8" t="s">
        <v>106</v>
      </c>
      <c r="G60" s="5">
        <v>12</v>
      </c>
      <c r="H60" s="9">
        <v>32531.008403361346</v>
      </c>
      <c r="I60" s="10">
        <v>38711.9</v>
      </c>
      <c r="J60" s="9">
        <f t="shared" si="2"/>
        <v>42290.310924369747</v>
      </c>
      <c r="K60" s="10">
        <f t="shared" si="3"/>
        <v>50325.469999999994</v>
      </c>
    </row>
    <row r="61" spans="1:11" ht="18" customHeight="1" x14ac:dyDescent="0.2">
      <c r="B61" s="5">
        <f t="shared" si="1"/>
        <v>59</v>
      </c>
      <c r="C61" s="6" t="s">
        <v>98</v>
      </c>
      <c r="D61" s="5" t="str">
        <f t="shared" ca="1" si="0"/>
        <v/>
      </c>
      <c r="E61" s="7">
        <v>1000808</v>
      </c>
      <c r="F61" s="8" t="s">
        <v>107</v>
      </c>
      <c r="G61" s="5">
        <v>12</v>
      </c>
      <c r="H61" s="9">
        <v>41571.092436974795</v>
      </c>
      <c r="I61" s="10">
        <v>49469.600000000006</v>
      </c>
      <c r="J61" s="9">
        <f t="shared" si="2"/>
        <v>54042.420168067234</v>
      </c>
      <c r="K61" s="10">
        <f t="shared" si="3"/>
        <v>64310.48</v>
      </c>
    </row>
    <row r="62" spans="1:11" ht="18" customHeight="1" x14ac:dyDescent="0.2">
      <c r="A62" s="4" t="s">
        <v>108</v>
      </c>
      <c r="B62" s="5">
        <f t="shared" si="1"/>
        <v>60</v>
      </c>
      <c r="C62" s="6" t="s">
        <v>98</v>
      </c>
      <c r="D62" s="5" t="str">
        <f t="shared" ca="1" si="0"/>
        <v/>
      </c>
      <c r="E62" s="7">
        <v>1001504</v>
      </c>
      <c r="F62" s="8" t="s">
        <v>109</v>
      </c>
      <c r="G62" s="5">
        <v>12</v>
      </c>
      <c r="H62" s="9">
        <v>75523.73949579832</v>
      </c>
      <c r="I62" s="10">
        <v>89873.25</v>
      </c>
      <c r="J62" s="9">
        <f t="shared" si="2"/>
        <v>98180.861344537814</v>
      </c>
      <c r="K62" s="10">
        <f t="shared" si="3"/>
        <v>116835.22499999999</v>
      </c>
    </row>
    <row r="63" spans="1:11" ht="18" customHeight="1" x14ac:dyDescent="0.2">
      <c r="A63" s="4" t="s">
        <v>100</v>
      </c>
      <c r="B63" s="5">
        <f t="shared" si="1"/>
        <v>61</v>
      </c>
      <c r="C63" s="6" t="s">
        <v>98</v>
      </c>
      <c r="D63" s="5" t="str">
        <f t="shared" ca="1" si="0"/>
        <v/>
      </c>
      <c r="E63" s="7">
        <v>1000570</v>
      </c>
      <c r="F63" s="8" t="s">
        <v>110</v>
      </c>
      <c r="G63" s="5">
        <v>12</v>
      </c>
      <c r="H63" s="9">
        <v>45567.731092436981</v>
      </c>
      <c r="I63" s="10">
        <v>54225.600000000006</v>
      </c>
      <c r="J63" s="9">
        <f t="shared" si="2"/>
        <v>59238.050420168074</v>
      </c>
      <c r="K63" s="10">
        <f t="shared" si="3"/>
        <v>70493.279999999999</v>
      </c>
    </row>
    <row r="64" spans="1:11" ht="18" customHeight="1" x14ac:dyDescent="0.2">
      <c r="A64" s="4" t="s">
        <v>104</v>
      </c>
      <c r="B64" s="5">
        <f t="shared" si="1"/>
        <v>62</v>
      </c>
      <c r="C64" s="6" t="s">
        <v>98</v>
      </c>
      <c r="D64" s="5" t="str">
        <f t="shared" ca="1" si="0"/>
        <v/>
      </c>
      <c r="E64" s="7">
        <v>1000285</v>
      </c>
      <c r="F64" s="8" t="s">
        <v>111</v>
      </c>
      <c r="G64" s="5">
        <v>6</v>
      </c>
      <c r="H64" s="9">
        <v>78337.478991596654</v>
      </c>
      <c r="I64" s="10">
        <v>93221.6</v>
      </c>
      <c r="J64" s="9">
        <f t="shared" si="2"/>
        <v>101838.72268907566</v>
      </c>
      <c r="K64" s="10">
        <f t="shared" si="3"/>
        <v>121188.08000000003</v>
      </c>
    </row>
    <row r="65" spans="1:11" ht="18" customHeight="1" x14ac:dyDescent="0.2">
      <c r="B65" s="5">
        <f t="shared" si="1"/>
        <v>63</v>
      </c>
      <c r="C65" s="6" t="s">
        <v>98</v>
      </c>
      <c r="D65" s="5" t="str">
        <f t="shared" ca="1" si="0"/>
        <v/>
      </c>
      <c r="E65" s="7">
        <v>1000835</v>
      </c>
      <c r="F65" s="8" t="s">
        <v>112</v>
      </c>
      <c r="G65" s="5">
        <v>6</v>
      </c>
      <c r="H65" s="9">
        <v>63262.588235294119</v>
      </c>
      <c r="I65" s="10">
        <v>75282.48</v>
      </c>
      <c r="J65" s="9">
        <f t="shared" si="2"/>
        <v>82241.364705882355</v>
      </c>
      <c r="K65" s="10">
        <f t="shared" si="3"/>
        <v>97867.224000000002</v>
      </c>
    </row>
    <row r="66" spans="1:11" ht="18" customHeight="1" x14ac:dyDescent="0.2">
      <c r="B66" s="5">
        <f t="shared" si="1"/>
        <v>64</v>
      </c>
      <c r="C66" s="6" t="s">
        <v>98</v>
      </c>
      <c r="D66" s="5" t="str">
        <f t="shared" ca="1" si="0"/>
        <v/>
      </c>
      <c r="E66" s="7">
        <v>1000806</v>
      </c>
      <c r="F66" s="8" t="s">
        <v>113</v>
      </c>
      <c r="G66" s="5">
        <v>6</v>
      </c>
      <c r="H66" s="9">
        <v>61729.075630252111</v>
      </c>
      <c r="I66" s="10">
        <v>73457.600000000006</v>
      </c>
      <c r="J66" s="9">
        <f t="shared" si="2"/>
        <v>80247.798319327747</v>
      </c>
      <c r="K66" s="10">
        <f t="shared" si="3"/>
        <v>95494.880000000019</v>
      </c>
    </row>
    <row r="67" spans="1:11" ht="18" customHeight="1" x14ac:dyDescent="0.2">
      <c r="A67" t="s">
        <v>97</v>
      </c>
      <c r="B67" s="5">
        <f t="shared" si="1"/>
        <v>65</v>
      </c>
      <c r="C67" s="6" t="s">
        <v>98</v>
      </c>
      <c r="D67" s="5" t="str">
        <f t="shared" ref="D67:D130" ca="1" si="4">IFERROR(_xlfn.IMAGE(A67),"")</f>
        <v/>
      </c>
      <c r="E67" s="7">
        <v>1000560</v>
      </c>
      <c r="F67" s="8" t="s">
        <v>114</v>
      </c>
      <c r="G67" s="11">
        <v>4</v>
      </c>
      <c r="H67" s="9">
        <v>50930.865546218483</v>
      </c>
      <c r="I67" s="10">
        <v>60607.729999999996</v>
      </c>
      <c r="J67" s="9">
        <f t="shared" si="2"/>
        <v>66210.125210084036</v>
      </c>
      <c r="K67" s="10">
        <f t="shared" si="3"/>
        <v>78790.048999999999</v>
      </c>
    </row>
    <row r="68" spans="1:11" ht="18" customHeight="1" x14ac:dyDescent="0.2">
      <c r="A68" t="s">
        <v>97</v>
      </c>
      <c r="B68" s="5">
        <f t="shared" ref="B68:B131" si="5">ROW(E68)-2</f>
        <v>66</v>
      </c>
      <c r="C68" s="6" t="s">
        <v>98</v>
      </c>
      <c r="D68" s="5" t="str">
        <f t="shared" ca="1" si="4"/>
        <v/>
      </c>
      <c r="E68" s="7">
        <v>1000556</v>
      </c>
      <c r="F68" s="8" t="s">
        <v>115</v>
      </c>
      <c r="G68" s="11">
        <v>4</v>
      </c>
      <c r="H68" s="9">
        <v>52927.45378151261</v>
      </c>
      <c r="I68" s="10">
        <v>62983.67</v>
      </c>
      <c r="J68" s="9">
        <f t="shared" ref="J68:J131" si="6">+H68*1.3</f>
        <v>68805.689915966388</v>
      </c>
      <c r="K68" s="10">
        <f t="shared" ref="K68:K131" si="7">+J68*1.19</f>
        <v>81878.770999999993</v>
      </c>
    </row>
    <row r="69" spans="1:11" ht="18" customHeight="1" x14ac:dyDescent="0.2">
      <c r="A69" s="4" t="s">
        <v>108</v>
      </c>
      <c r="B69" s="5">
        <f t="shared" si="5"/>
        <v>67</v>
      </c>
      <c r="C69" s="6" t="s">
        <v>98</v>
      </c>
      <c r="D69" s="5" t="str">
        <f t="shared" ca="1" si="4"/>
        <v/>
      </c>
      <c r="E69" s="7">
        <v>1001502</v>
      </c>
      <c r="F69" s="8" t="s">
        <v>116</v>
      </c>
      <c r="G69" s="5">
        <v>4</v>
      </c>
      <c r="H69" s="9">
        <v>104159.87394957984</v>
      </c>
      <c r="I69" s="10">
        <v>123950.25</v>
      </c>
      <c r="J69" s="9">
        <f t="shared" si="6"/>
        <v>135407.8361344538</v>
      </c>
      <c r="K69" s="10">
        <f t="shared" si="7"/>
        <v>161135.32500000001</v>
      </c>
    </row>
    <row r="70" spans="1:11" ht="18" customHeight="1" x14ac:dyDescent="0.2">
      <c r="A70" s="4" t="s">
        <v>117</v>
      </c>
      <c r="B70" s="5">
        <f t="shared" si="5"/>
        <v>68</v>
      </c>
      <c r="C70" s="6" t="s">
        <v>98</v>
      </c>
      <c r="D70" s="5" t="str">
        <f t="shared" ca="1" si="4"/>
        <v/>
      </c>
      <c r="E70" s="7">
        <v>1001413</v>
      </c>
      <c r="F70" s="8" t="s">
        <v>118</v>
      </c>
      <c r="G70" s="5">
        <v>4</v>
      </c>
      <c r="H70" s="9">
        <v>59751.529411764699</v>
      </c>
      <c r="I70" s="10">
        <v>71104.319999999992</v>
      </c>
      <c r="J70" s="9">
        <f t="shared" si="6"/>
        <v>77676.988235294106</v>
      </c>
      <c r="K70" s="10">
        <f t="shared" si="7"/>
        <v>92435.61599999998</v>
      </c>
    </row>
    <row r="71" spans="1:11" ht="18" customHeight="1" x14ac:dyDescent="0.2">
      <c r="A71" t="s">
        <v>100</v>
      </c>
      <c r="B71" s="5">
        <f t="shared" si="5"/>
        <v>69</v>
      </c>
      <c r="C71" s="6" t="s">
        <v>98</v>
      </c>
      <c r="D71" s="5" t="str">
        <f t="shared" ca="1" si="4"/>
        <v/>
      </c>
      <c r="E71" s="7">
        <v>1000544</v>
      </c>
      <c r="F71" s="8" t="s">
        <v>119</v>
      </c>
      <c r="G71" s="5">
        <v>4</v>
      </c>
      <c r="H71" s="9">
        <v>71646.23529411765</v>
      </c>
      <c r="I71" s="10">
        <v>85259.02</v>
      </c>
      <c r="J71" s="9">
        <f t="shared" si="6"/>
        <v>93140.105882352946</v>
      </c>
      <c r="K71" s="10">
        <f t="shared" si="7"/>
        <v>110836.726</v>
      </c>
    </row>
    <row r="72" spans="1:11" ht="18" customHeight="1" x14ac:dyDescent="0.2">
      <c r="A72" s="4" t="s">
        <v>120</v>
      </c>
      <c r="B72" s="5">
        <f t="shared" si="5"/>
        <v>70</v>
      </c>
      <c r="C72" s="6" t="s">
        <v>98</v>
      </c>
      <c r="D72" s="5" t="str">
        <f t="shared" ca="1" si="4"/>
        <v/>
      </c>
      <c r="E72" s="7">
        <v>1000550</v>
      </c>
      <c r="F72" s="8" t="s">
        <v>121</v>
      </c>
      <c r="G72" s="11">
        <v>12</v>
      </c>
      <c r="H72" s="9">
        <v>53137.142857142855</v>
      </c>
      <c r="I72" s="10">
        <v>63233.2</v>
      </c>
      <c r="J72" s="9">
        <f t="shared" si="6"/>
        <v>69078.28571428571</v>
      </c>
      <c r="K72" s="10">
        <f t="shared" si="7"/>
        <v>82203.159999999989</v>
      </c>
    </row>
    <row r="73" spans="1:11" ht="18" customHeight="1" x14ac:dyDescent="0.2">
      <c r="A73" s="4" t="s">
        <v>122</v>
      </c>
      <c r="B73" s="5">
        <f t="shared" si="5"/>
        <v>71</v>
      </c>
      <c r="C73" s="6" t="s">
        <v>123</v>
      </c>
      <c r="D73" s="5" t="str">
        <f t="shared" ca="1" si="4"/>
        <v/>
      </c>
      <c r="E73" s="7">
        <v>1001388</v>
      </c>
      <c r="F73" s="8" t="s">
        <v>124</v>
      </c>
      <c r="G73" s="5">
        <v>6</v>
      </c>
      <c r="H73" s="9">
        <v>36791.260504201688</v>
      </c>
      <c r="I73" s="10">
        <v>43781.600000000006</v>
      </c>
      <c r="J73" s="9">
        <f t="shared" si="6"/>
        <v>47828.638655462193</v>
      </c>
      <c r="K73" s="10">
        <f t="shared" si="7"/>
        <v>56916.080000000009</v>
      </c>
    </row>
    <row r="74" spans="1:11" ht="18" customHeight="1" x14ac:dyDescent="0.2">
      <c r="A74" s="4" t="s">
        <v>122</v>
      </c>
      <c r="B74" s="5">
        <f t="shared" si="5"/>
        <v>72</v>
      </c>
      <c r="C74" s="6" t="s">
        <v>123</v>
      </c>
      <c r="D74" s="5" t="str">
        <f t="shared" ca="1" si="4"/>
        <v/>
      </c>
      <c r="E74" s="7">
        <v>1001390</v>
      </c>
      <c r="F74" s="8" t="s">
        <v>125</v>
      </c>
      <c r="G74" s="5">
        <v>6</v>
      </c>
      <c r="H74" s="9">
        <v>34813.445378151264</v>
      </c>
      <c r="I74" s="10">
        <v>41428</v>
      </c>
      <c r="J74" s="9">
        <f t="shared" si="6"/>
        <v>45257.478991596647</v>
      </c>
      <c r="K74" s="10">
        <f t="shared" si="7"/>
        <v>53856.400000000009</v>
      </c>
    </row>
    <row r="75" spans="1:11" ht="18" customHeight="1" x14ac:dyDescent="0.2">
      <c r="A75" s="4" t="s">
        <v>126</v>
      </c>
      <c r="B75" s="5">
        <f t="shared" si="5"/>
        <v>73</v>
      </c>
      <c r="C75" s="6" t="s">
        <v>123</v>
      </c>
      <c r="D75" s="5" t="str">
        <f t="shared" ca="1" si="4"/>
        <v/>
      </c>
      <c r="E75" s="7">
        <v>1001373</v>
      </c>
      <c r="F75" s="8" t="s">
        <v>127</v>
      </c>
      <c r="G75" s="5">
        <v>6</v>
      </c>
      <c r="H75" s="9">
        <v>34471.932773109249</v>
      </c>
      <c r="I75" s="10">
        <v>41021.600000000006</v>
      </c>
      <c r="J75" s="9">
        <f t="shared" si="6"/>
        <v>44813.512605042022</v>
      </c>
      <c r="K75" s="10">
        <f t="shared" si="7"/>
        <v>53328.08</v>
      </c>
    </row>
    <row r="76" spans="1:11" ht="18" customHeight="1" x14ac:dyDescent="0.2">
      <c r="A76" s="4" t="s">
        <v>126</v>
      </c>
      <c r="B76" s="5">
        <f t="shared" si="5"/>
        <v>74</v>
      </c>
      <c r="C76" s="6" t="s">
        <v>123</v>
      </c>
      <c r="D76" s="5" t="str">
        <f t="shared" ca="1" si="4"/>
        <v/>
      </c>
      <c r="E76" s="7">
        <v>1001386</v>
      </c>
      <c r="F76" s="8" t="s">
        <v>128</v>
      </c>
      <c r="G76" s="5">
        <v>6</v>
      </c>
      <c r="H76" s="9">
        <v>31544.873949579836</v>
      </c>
      <c r="I76" s="10">
        <v>37538.400000000001</v>
      </c>
      <c r="J76" s="9">
        <f t="shared" si="6"/>
        <v>41008.336134453792</v>
      </c>
      <c r="K76" s="10">
        <f t="shared" si="7"/>
        <v>48799.920000000013</v>
      </c>
    </row>
    <row r="77" spans="1:11" ht="18" customHeight="1" x14ac:dyDescent="0.2">
      <c r="A77" s="4" t="s">
        <v>129</v>
      </c>
      <c r="B77" s="5">
        <f t="shared" si="5"/>
        <v>75</v>
      </c>
      <c r="C77" s="6" t="s">
        <v>130</v>
      </c>
      <c r="D77" s="5" t="str">
        <f t="shared" ca="1" si="4"/>
        <v/>
      </c>
      <c r="E77" s="7">
        <v>1000622</v>
      </c>
      <c r="F77" s="8" t="s">
        <v>131</v>
      </c>
      <c r="G77" s="11">
        <v>12</v>
      </c>
      <c r="H77" s="9">
        <v>45027.226890756305</v>
      </c>
      <c r="I77" s="10">
        <v>53582.400000000001</v>
      </c>
      <c r="J77" s="9">
        <f t="shared" si="6"/>
        <v>58535.394957983197</v>
      </c>
      <c r="K77" s="10">
        <f t="shared" si="7"/>
        <v>69657.119999999995</v>
      </c>
    </row>
    <row r="78" spans="1:11" ht="18" customHeight="1" x14ac:dyDescent="0.2">
      <c r="A78" s="4" t="s">
        <v>129</v>
      </c>
      <c r="B78" s="5">
        <f t="shared" si="5"/>
        <v>76</v>
      </c>
      <c r="C78" s="6" t="s">
        <v>130</v>
      </c>
      <c r="D78" s="5" t="str">
        <f t="shared" ca="1" si="4"/>
        <v/>
      </c>
      <c r="E78" s="7">
        <v>1000781</v>
      </c>
      <c r="F78" s="8" t="s">
        <v>132</v>
      </c>
      <c r="G78" s="5">
        <v>12</v>
      </c>
      <c r="H78" s="9">
        <v>47802.352941176476</v>
      </c>
      <c r="I78" s="10">
        <v>56884.800000000003</v>
      </c>
      <c r="J78" s="9">
        <f t="shared" si="6"/>
        <v>62143.05882352942</v>
      </c>
      <c r="K78" s="10">
        <f t="shared" si="7"/>
        <v>73950.240000000005</v>
      </c>
    </row>
    <row r="79" spans="1:11" ht="18" customHeight="1" x14ac:dyDescent="0.2">
      <c r="A79" s="4" t="s">
        <v>133</v>
      </c>
      <c r="B79" s="5">
        <f t="shared" si="5"/>
        <v>77</v>
      </c>
      <c r="C79" s="6" t="s">
        <v>130</v>
      </c>
      <c r="D79" s="5" t="str">
        <f t="shared" ca="1" si="4"/>
        <v/>
      </c>
      <c r="E79" s="7">
        <v>1000379</v>
      </c>
      <c r="F79" s="8" t="s">
        <v>134</v>
      </c>
      <c r="G79" s="5">
        <v>12</v>
      </c>
      <c r="H79" s="9">
        <v>44056.512605042022</v>
      </c>
      <c r="I79" s="10">
        <v>52427.25</v>
      </c>
      <c r="J79" s="9">
        <f t="shared" si="6"/>
        <v>57273.466386554632</v>
      </c>
      <c r="K79" s="10">
        <f t="shared" si="7"/>
        <v>68155.425000000003</v>
      </c>
    </row>
    <row r="80" spans="1:11" ht="18" customHeight="1" x14ac:dyDescent="0.2">
      <c r="A80" s="4" t="s">
        <v>135</v>
      </c>
      <c r="B80" s="5">
        <f t="shared" si="5"/>
        <v>78</v>
      </c>
      <c r="C80" s="6" t="s">
        <v>130</v>
      </c>
      <c r="D80" s="5" t="str">
        <f t="shared" ca="1" si="4"/>
        <v/>
      </c>
      <c r="E80" s="7">
        <v>1001371</v>
      </c>
      <c r="F80" s="8" t="s">
        <v>136</v>
      </c>
      <c r="G80" s="11">
        <v>12</v>
      </c>
      <c r="H80" s="9">
        <v>52873.277310924379</v>
      </c>
      <c r="I80" s="10">
        <v>62919.200000000004</v>
      </c>
      <c r="J80" s="9">
        <f t="shared" si="6"/>
        <v>68735.260504201695</v>
      </c>
      <c r="K80" s="10">
        <f t="shared" si="7"/>
        <v>81794.960000000006</v>
      </c>
    </row>
    <row r="81" spans="1:11" ht="18" customHeight="1" x14ac:dyDescent="0.2">
      <c r="A81" s="4" t="s">
        <v>137</v>
      </c>
      <c r="B81" s="5">
        <f t="shared" si="5"/>
        <v>79</v>
      </c>
      <c r="C81" s="6" t="s">
        <v>130</v>
      </c>
      <c r="D81" s="5" t="str">
        <f t="shared" ca="1" si="4"/>
        <v/>
      </c>
      <c r="E81" s="7">
        <v>1000367</v>
      </c>
      <c r="F81" s="8" t="s">
        <v>138</v>
      </c>
      <c r="G81" s="11">
        <v>12</v>
      </c>
      <c r="H81" s="9">
        <v>51527.394957983197</v>
      </c>
      <c r="I81" s="10">
        <v>61317.600000000006</v>
      </c>
      <c r="J81" s="9">
        <f t="shared" si="6"/>
        <v>66985.613445378156</v>
      </c>
      <c r="K81" s="10">
        <f t="shared" si="7"/>
        <v>79712.88</v>
      </c>
    </row>
    <row r="82" spans="1:11" ht="18" customHeight="1" x14ac:dyDescent="0.2">
      <c r="A82" s="4" t="s">
        <v>129</v>
      </c>
      <c r="B82" s="5">
        <f t="shared" si="5"/>
        <v>80</v>
      </c>
      <c r="C82" s="6" t="s">
        <v>130</v>
      </c>
      <c r="D82" s="5" t="str">
        <f t="shared" ca="1" si="4"/>
        <v/>
      </c>
      <c r="E82" s="7">
        <v>1000377</v>
      </c>
      <c r="F82" s="8" t="s">
        <v>139</v>
      </c>
      <c r="G82" s="11">
        <v>12</v>
      </c>
      <c r="H82" s="9">
        <v>44927.05882352942</v>
      </c>
      <c r="I82" s="10">
        <v>53463.200000000004</v>
      </c>
      <c r="J82" s="9">
        <f t="shared" si="6"/>
        <v>58405.176470588245</v>
      </c>
      <c r="K82" s="10">
        <f t="shared" si="7"/>
        <v>69502.16</v>
      </c>
    </row>
    <row r="83" spans="1:11" ht="18" customHeight="1" x14ac:dyDescent="0.2">
      <c r="A83" s="4" t="s">
        <v>140</v>
      </c>
      <c r="B83" s="5">
        <f t="shared" si="5"/>
        <v>81</v>
      </c>
      <c r="C83" s="6" t="s">
        <v>141</v>
      </c>
      <c r="D83" s="5" t="str">
        <f t="shared" ca="1" si="4"/>
        <v/>
      </c>
      <c r="E83" s="7">
        <v>1000779</v>
      </c>
      <c r="F83" s="8" t="s">
        <v>142</v>
      </c>
      <c r="G83" s="11">
        <v>12</v>
      </c>
      <c r="H83" s="9">
        <v>52969.411764705888</v>
      </c>
      <c r="I83" s="10">
        <v>63033.600000000006</v>
      </c>
      <c r="J83" s="9">
        <f t="shared" si="6"/>
        <v>68860.23529411765</v>
      </c>
      <c r="K83" s="10">
        <f t="shared" si="7"/>
        <v>81943.680000000008</v>
      </c>
    </row>
    <row r="84" spans="1:11" ht="18" customHeight="1" x14ac:dyDescent="0.2">
      <c r="A84" s="4" t="s">
        <v>143</v>
      </c>
      <c r="B84" s="5">
        <f t="shared" si="5"/>
        <v>82</v>
      </c>
      <c r="C84" s="6" t="s">
        <v>144</v>
      </c>
      <c r="D84" s="5" t="str">
        <f t="shared" ca="1" si="4"/>
        <v/>
      </c>
      <c r="E84" s="7">
        <v>1001375</v>
      </c>
      <c r="F84" s="8" t="s">
        <v>145</v>
      </c>
      <c r="G84" s="5">
        <v>12</v>
      </c>
      <c r="H84" s="9">
        <v>46171.428571428572</v>
      </c>
      <c r="I84" s="10">
        <v>54944</v>
      </c>
      <c r="J84" s="9">
        <f t="shared" si="6"/>
        <v>60022.857142857145</v>
      </c>
      <c r="K84" s="10">
        <f t="shared" si="7"/>
        <v>71427.199999999997</v>
      </c>
    </row>
    <row r="85" spans="1:11" ht="18" customHeight="1" x14ac:dyDescent="0.2">
      <c r="A85" s="4" t="s">
        <v>146</v>
      </c>
      <c r="B85" s="5">
        <f t="shared" si="5"/>
        <v>83</v>
      </c>
      <c r="C85" s="6" t="s">
        <v>144</v>
      </c>
      <c r="D85" s="5" t="str">
        <f t="shared" ca="1" si="4"/>
        <v/>
      </c>
      <c r="E85" s="7">
        <v>1000039</v>
      </c>
      <c r="F85" s="8" t="s">
        <v>147</v>
      </c>
      <c r="G85" s="11">
        <v>30</v>
      </c>
      <c r="H85" s="9">
        <v>54220.60504201681</v>
      </c>
      <c r="I85" s="10">
        <v>64522.520000000004</v>
      </c>
      <c r="J85" s="9">
        <f t="shared" si="6"/>
        <v>70486.786554621853</v>
      </c>
      <c r="K85" s="10">
        <f t="shared" si="7"/>
        <v>83879.275999999998</v>
      </c>
    </row>
    <row r="86" spans="1:11" ht="18" customHeight="1" x14ac:dyDescent="0.2">
      <c r="A86" s="4" t="s">
        <v>143</v>
      </c>
      <c r="B86" s="5">
        <f t="shared" si="5"/>
        <v>84</v>
      </c>
      <c r="C86" s="6" t="s">
        <v>144</v>
      </c>
      <c r="D86" s="5" t="str">
        <f t="shared" ca="1" si="4"/>
        <v/>
      </c>
      <c r="E86" s="7">
        <v>1000666</v>
      </c>
      <c r="F86" s="8" t="s">
        <v>148</v>
      </c>
      <c r="G86" s="11" t="s">
        <v>12</v>
      </c>
      <c r="H86" s="9">
        <v>613326.05042016809</v>
      </c>
      <c r="I86" s="10">
        <v>729858</v>
      </c>
      <c r="J86" s="9">
        <f t="shared" si="6"/>
        <v>797323.86554621859</v>
      </c>
      <c r="K86" s="10">
        <f t="shared" si="7"/>
        <v>948815.4</v>
      </c>
    </row>
    <row r="87" spans="1:11" ht="18" customHeight="1" x14ac:dyDescent="0.2">
      <c r="A87" s="4" t="s">
        <v>149</v>
      </c>
      <c r="B87" s="5">
        <f t="shared" si="5"/>
        <v>85</v>
      </c>
      <c r="C87" s="6" t="s">
        <v>150</v>
      </c>
      <c r="D87" s="5" t="str">
        <f t="shared" ca="1" si="4"/>
        <v/>
      </c>
      <c r="E87" s="7">
        <v>1300024</v>
      </c>
      <c r="F87" s="8" t="s">
        <v>151</v>
      </c>
      <c r="G87" s="5">
        <v>24</v>
      </c>
      <c r="H87" s="9">
        <v>29621.76470588235</v>
      </c>
      <c r="I87" s="10">
        <v>35249.899999999994</v>
      </c>
      <c r="J87" s="9">
        <f t="shared" si="6"/>
        <v>38508.294117647056</v>
      </c>
      <c r="K87" s="10">
        <f t="shared" si="7"/>
        <v>45824.869999999995</v>
      </c>
    </row>
    <row r="88" spans="1:11" ht="18" customHeight="1" x14ac:dyDescent="0.2">
      <c r="A88" s="4" t="s">
        <v>149</v>
      </c>
      <c r="B88" s="5">
        <f t="shared" si="5"/>
        <v>86</v>
      </c>
      <c r="C88" s="6" t="s">
        <v>150</v>
      </c>
      <c r="D88" s="5" t="str">
        <f t="shared" ca="1" si="4"/>
        <v/>
      </c>
      <c r="E88" s="7">
        <v>1300027</v>
      </c>
      <c r="F88" s="8" t="s">
        <v>152</v>
      </c>
      <c r="G88" s="5">
        <v>24</v>
      </c>
      <c r="H88" s="9">
        <v>39247.647058823532</v>
      </c>
      <c r="I88" s="12">
        <v>46704.7</v>
      </c>
      <c r="J88" s="9">
        <f t="shared" si="6"/>
        <v>51021.941176470595</v>
      </c>
      <c r="K88" s="10">
        <f t="shared" si="7"/>
        <v>60716.110000000008</v>
      </c>
    </row>
    <row r="89" spans="1:11" ht="18" customHeight="1" x14ac:dyDescent="0.2">
      <c r="A89" t="s">
        <v>153</v>
      </c>
      <c r="B89" s="5">
        <f t="shared" si="5"/>
        <v>87</v>
      </c>
      <c r="C89" s="6" t="s">
        <v>150</v>
      </c>
      <c r="D89" s="5" t="str">
        <f t="shared" ca="1" si="4"/>
        <v/>
      </c>
      <c r="E89" s="7">
        <v>1300011</v>
      </c>
      <c r="F89" s="8" t="s">
        <v>154</v>
      </c>
      <c r="G89" s="5">
        <v>24</v>
      </c>
      <c r="H89" s="9">
        <v>29474.705882352937</v>
      </c>
      <c r="I89" s="12">
        <v>35074.899999999994</v>
      </c>
      <c r="J89" s="9">
        <f t="shared" si="6"/>
        <v>38317.117647058818</v>
      </c>
      <c r="K89" s="10">
        <f t="shared" si="7"/>
        <v>45597.369999999988</v>
      </c>
    </row>
    <row r="90" spans="1:11" ht="18" customHeight="1" x14ac:dyDescent="0.2">
      <c r="A90" t="s">
        <v>153</v>
      </c>
      <c r="B90" s="5">
        <f t="shared" si="5"/>
        <v>88</v>
      </c>
      <c r="C90" s="6" t="s">
        <v>150</v>
      </c>
      <c r="D90" s="5" t="str">
        <f t="shared" ca="1" si="4"/>
        <v/>
      </c>
      <c r="E90" s="7">
        <v>1300008</v>
      </c>
      <c r="F90" s="8" t="s">
        <v>155</v>
      </c>
      <c r="G90" s="5">
        <v>24</v>
      </c>
      <c r="H90" s="9">
        <v>40190.210084033613</v>
      </c>
      <c r="I90" s="12">
        <v>47826.35</v>
      </c>
      <c r="J90" s="9">
        <f t="shared" si="6"/>
        <v>52247.273109243702</v>
      </c>
      <c r="K90" s="10">
        <f t="shared" si="7"/>
        <v>62174.255000000005</v>
      </c>
    </row>
    <row r="91" spans="1:11" ht="18" customHeight="1" x14ac:dyDescent="0.2">
      <c r="A91" t="s">
        <v>149</v>
      </c>
      <c r="B91" s="5">
        <f t="shared" si="5"/>
        <v>89</v>
      </c>
      <c r="C91" s="6" t="s">
        <v>150</v>
      </c>
      <c r="D91" s="5" t="str">
        <f t="shared" ca="1" si="4"/>
        <v/>
      </c>
      <c r="E91" s="7">
        <v>1300023</v>
      </c>
      <c r="F91" s="8" t="s">
        <v>156</v>
      </c>
      <c r="G91" s="5">
        <v>12</v>
      </c>
      <c r="H91" s="9">
        <v>15520</v>
      </c>
      <c r="I91" s="12">
        <v>18468.8</v>
      </c>
      <c r="J91" s="9">
        <f t="shared" si="6"/>
        <v>20176</v>
      </c>
      <c r="K91" s="10">
        <f t="shared" si="7"/>
        <v>24009.439999999999</v>
      </c>
    </row>
    <row r="92" spans="1:11" ht="18" customHeight="1" x14ac:dyDescent="0.2">
      <c r="A92" t="s">
        <v>149</v>
      </c>
      <c r="B92" s="5">
        <f t="shared" si="5"/>
        <v>90</v>
      </c>
      <c r="C92" s="6" t="s">
        <v>150</v>
      </c>
      <c r="D92" s="5" t="str">
        <f t="shared" ca="1" si="4"/>
        <v/>
      </c>
      <c r="E92" s="7">
        <v>1300026</v>
      </c>
      <c r="F92" s="8" t="s">
        <v>157</v>
      </c>
      <c r="G92" s="5">
        <v>12</v>
      </c>
      <c r="H92" s="9">
        <v>20434.957983193279</v>
      </c>
      <c r="I92" s="12">
        <v>24317.600000000002</v>
      </c>
      <c r="J92" s="9">
        <f t="shared" si="6"/>
        <v>26565.445378151264</v>
      </c>
      <c r="K92" s="10">
        <f t="shared" si="7"/>
        <v>31612.880000000001</v>
      </c>
    </row>
    <row r="93" spans="1:11" ht="18" customHeight="1" x14ac:dyDescent="0.2">
      <c r="A93" t="s">
        <v>153</v>
      </c>
      <c r="B93" s="5">
        <f t="shared" si="5"/>
        <v>91</v>
      </c>
      <c r="C93" s="6" t="s">
        <v>150</v>
      </c>
      <c r="D93" s="5" t="str">
        <f t="shared" ca="1" si="4"/>
        <v/>
      </c>
      <c r="E93" s="7">
        <v>1300010</v>
      </c>
      <c r="F93" s="8" t="s">
        <v>158</v>
      </c>
      <c r="G93" s="5">
        <v>12</v>
      </c>
      <c r="H93" s="9">
        <v>16843.025210084033</v>
      </c>
      <c r="I93" s="12">
        <v>20043.2</v>
      </c>
      <c r="J93" s="9">
        <f t="shared" si="6"/>
        <v>21895.932773109245</v>
      </c>
      <c r="K93" s="10">
        <f t="shared" si="7"/>
        <v>26056.16</v>
      </c>
    </row>
    <row r="94" spans="1:11" ht="18" customHeight="1" x14ac:dyDescent="0.2">
      <c r="A94" t="s">
        <v>153</v>
      </c>
      <c r="B94" s="5">
        <f t="shared" si="5"/>
        <v>92</v>
      </c>
      <c r="C94" s="6" t="s">
        <v>150</v>
      </c>
      <c r="D94" s="5" t="str">
        <f t="shared" ca="1" si="4"/>
        <v/>
      </c>
      <c r="E94" s="7">
        <v>1300007</v>
      </c>
      <c r="F94" s="8" t="s">
        <v>159</v>
      </c>
      <c r="G94" s="5">
        <v>12</v>
      </c>
      <c r="H94" s="9">
        <v>22921.008403361346</v>
      </c>
      <c r="I94" s="12">
        <v>27276</v>
      </c>
      <c r="J94" s="9">
        <f t="shared" si="6"/>
        <v>29797.310924369751</v>
      </c>
      <c r="K94" s="10">
        <f t="shared" si="7"/>
        <v>35458.800000000003</v>
      </c>
    </row>
    <row r="95" spans="1:11" ht="18" customHeight="1" x14ac:dyDescent="0.2">
      <c r="A95" t="s">
        <v>153</v>
      </c>
      <c r="B95" s="5">
        <f t="shared" si="5"/>
        <v>93</v>
      </c>
      <c r="C95" s="6" t="s">
        <v>150</v>
      </c>
      <c r="D95" s="5" t="str">
        <f t="shared" ca="1" si="4"/>
        <v/>
      </c>
      <c r="E95" s="7">
        <v>1300004</v>
      </c>
      <c r="F95" s="8" t="s">
        <v>160</v>
      </c>
      <c r="G95" s="5">
        <v>12</v>
      </c>
      <c r="H95" s="9">
        <v>45205.294117647063</v>
      </c>
      <c r="I95" s="12">
        <v>53794.3</v>
      </c>
      <c r="J95" s="9">
        <f t="shared" si="6"/>
        <v>58766.882352941182</v>
      </c>
      <c r="K95" s="10">
        <f t="shared" si="7"/>
        <v>69932.59</v>
      </c>
    </row>
    <row r="96" spans="1:11" ht="18" customHeight="1" x14ac:dyDescent="0.2">
      <c r="A96" s="4" t="s">
        <v>161</v>
      </c>
      <c r="B96" s="5">
        <f t="shared" si="5"/>
        <v>94</v>
      </c>
      <c r="C96" s="6" t="s">
        <v>150</v>
      </c>
      <c r="D96" s="5" t="str">
        <f t="shared" ca="1" si="4"/>
        <v/>
      </c>
      <c r="E96" s="7">
        <v>1300042</v>
      </c>
      <c r="F96" s="8" t="s">
        <v>162</v>
      </c>
      <c r="G96" s="5">
        <v>12</v>
      </c>
      <c r="H96" s="9">
        <v>16198.319327731093</v>
      </c>
      <c r="I96" s="12">
        <v>19276</v>
      </c>
      <c r="J96" s="9">
        <f t="shared" si="6"/>
        <v>21057.81512605042</v>
      </c>
      <c r="K96" s="10">
        <f t="shared" si="7"/>
        <v>25058.799999999999</v>
      </c>
    </row>
    <row r="97" spans="1:11" ht="18" customHeight="1" x14ac:dyDescent="0.2">
      <c r="A97" s="4" t="s">
        <v>7</v>
      </c>
      <c r="B97" s="5">
        <f t="shared" si="5"/>
        <v>95</v>
      </c>
      <c r="C97" s="6" t="s">
        <v>163</v>
      </c>
      <c r="D97" s="5" t="str">
        <f t="shared" ca="1" si="4"/>
        <v/>
      </c>
      <c r="E97" s="7">
        <v>1000155</v>
      </c>
      <c r="F97" s="8" t="s">
        <v>164</v>
      </c>
      <c r="G97" s="5" t="s">
        <v>10</v>
      </c>
      <c r="H97" s="9">
        <v>59825.882352941182</v>
      </c>
      <c r="I97" s="12">
        <v>71192.800000000003</v>
      </c>
      <c r="J97" s="9">
        <f t="shared" si="6"/>
        <v>77773.647058823539</v>
      </c>
      <c r="K97" s="10">
        <f t="shared" si="7"/>
        <v>92550.640000000014</v>
      </c>
    </row>
    <row r="98" spans="1:11" ht="18" customHeight="1" x14ac:dyDescent="0.2">
      <c r="A98" s="4" t="s">
        <v>7</v>
      </c>
      <c r="B98" s="5">
        <f t="shared" si="5"/>
        <v>96</v>
      </c>
      <c r="C98" s="6" t="s">
        <v>163</v>
      </c>
      <c r="D98" s="5" t="str">
        <f t="shared" ca="1" si="4"/>
        <v/>
      </c>
      <c r="E98" s="7">
        <v>1000157</v>
      </c>
      <c r="F98" s="8" t="s">
        <v>290</v>
      </c>
      <c r="G98" s="11" t="s">
        <v>10</v>
      </c>
      <c r="H98" s="9">
        <v>51230.924369747903</v>
      </c>
      <c r="I98" s="12">
        <v>60964.800000000003</v>
      </c>
      <c r="J98" s="9">
        <f t="shared" si="6"/>
        <v>66600.201680672282</v>
      </c>
      <c r="K98" s="10">
        <f t="shared" si="7"/>
        <v>79254.240000000005</v>
      </c>
    </row>
    <row r="99" spans="1:11" ht="18" customHeight="1" x14ac:dyDescent="0.2">
      <c r="A99" s="4" t="s">
        <v>7</v>
      </c>
      <c r="B99" s="5">
        <f t="shared" si="5"/>
        <v>97</v>
      </c>
      <c r="C99" s="6" t="s">
        <v>163</v>
      </c>
      <c r="D99" s="5" t="str">
        <f t="shared" ca="1" si="4"/>
        <v/>
      </c>
      <c r="E99" s="7">
        <v>1000133</v>
      </c>
      <c r="F99" s="8" t="s">
        <v>291</v>
      </c>
      <c r="G99" s="11" t="s">
        <v>10</v>
      </c>
      <c r="H99" s="9">
        <v>74248.067226890766</v>
      </c>
      <c r="I99" s="12">
        <v>88355.200000000012</v>
      </c>
      <c r="J99" s="9">
        <f t="shared" si="6"/>
        <v>96522.487394957992</v>
      </c>
      <c r="K99" s="10">
        <f t="shared" si="7"/>
        <v>114861.76000000001</v>
      </c>
    </row>
    <row r="100" spans="1:11" ht="18" customHeight="1" x14ac:dyDescent="0.2">
      <c r="A100" s="4" t="s">
        <v>7</v>
      </c>
      <c r="B100" s="5">
        <f t="shared" si="5"/>
        <v>98</v>
      </c>
      <c r="C100" s="6" t="s">
        <v>165</v>
      </c>
      <c r="D100" s="5" t="str">
        <f t="shared" ca="1" si="4"/>
        <v/>
      </c>
      <c r="E100" s="7">
        <v>1000110</v>
      </c>
      <c r="F100" s="8" t="s">
        <v>166</v>
      </c>
      <c r="G100" s="11" t="s">
        <v>12</v>
      </c>
      <c r="H100" s="9">
        <v>538895.16806722688</v>
      </c>
      <c r="I100" s="12">
        <v>641285.25</v>
      </c>
      <c r="J100" s="9">
        <f t="shared" si="6"/>
        <v>700563.71848739497</v>
      </c>
      <c r="K100" s="10">
        <f t="shared" si="7"/>
        <v>833670.82499999995</v>
      </c>
    </row>
    <row r="101" spans="1:11" ht="18" customHeight="1" x14ac:dyDescent="0.2">
      <c r="A101" s="4" t="s">
        <v>7</v>
      </c>
      <c r="B101" s="5">
        <f t="shared" si="5"/>
        <v>99</v>
      </c>
      <c r="C101" s="6" t="s">
        <v>165</v>
      </c>
      <c r="D101" s="5" t="str">
        <f t="shared" ca="1" si="4"/>
        <v/>
      </c>
      <c r="E101" s="7">
        <v>1000740</v>
      </c>
      <c r="F101" s="8" t="s">
        <v>167</v>
      </c>
      <c r="G101" s="11" t="s">
        <v>12</v>
      </c>
      <c r="H101" s="9">
        <v>393197.01680672274</v>
      </c>
      <c r="I101" s="12">
        <v>467904.45</v>
      </c>
      <c r="J101" s="9">
        <f t="shared" si="6"/>
        <v>511156.12184873957</v>
      </c>
      <c r="K101" s="10">
        <f t="shared" si="7"/>
        <v>608275.78500000003</v>
      </c>
    </row>
    <row r="102" spans="1:11" ht="18" customHeight="1" x14ac:dyDescent="0.2">
      <c r="A102" s="4" t="s">
        <v>7</v>
      </c>
      <c r="B102" s="5">
        <f t="shared" si="5"/>
        <v>100</v>
      </c>
      <c r="C102" s="6" t="s">
        <v>165</v>
      </c>
      <c r="D102" s="5" t="str">
        <f t="shared" ca="1" si="4"/>
        <v/>
      </c>
      <c r="E102" s="7">
        <v>1000738</v>
      </c>
      <c r="F102" s="8" t="s">
        <v>168</v>
      </c>
      <c r="G102" s="5" t="s">
        <v>10</v>
      </c>
      <c r="H102" s="9">
        <v>42740.840336134461</v>
      </c>
      <c r="I102" s="12">
        <v>50861.600000000006</v>
      </c>
      <c r="J102" s="9">
        <f t="shared" si="6"/>
        <v>55563.092436974803</v>
      </c>
      <c r="K102" s="10">
        <f t="shared" si="7"/>
        <v>66120.080000000016</v>
      </c>
    </row>
    <row r="103" spans="1:11" ht="18" customHeight="1" x14ac:dyDescent="0.2">
      <c r="A103" s="4" t="s">
        <v>7</v>
      </c>
      <c r="B103" s="5">
        <f t="shared" si="5"/>
        <v>101</v>
      </c>
      <c r="C103" s="6" t="s">
        <v>165</v>
      </c>
      <c r="D103" s="5" t="str">
        <f t="shared" ca="1" si="4"/>
        <v/>
      </c>
      <c r="E103" s="7">
        <v>1000083</v>
      </c>
      <c r="F103" s="8" t="s">
        <v>169</v>
      </c>
      <c r="G103" s="5" t="s">
        <v>10</v>
      </c>
      <c r="H103" s="9">
        <v>38516.924369747903</v>
      </c>
      <c r="I103" s="12">
        <v>45835.14</v>
      </c>
      <c r="J103" s="9">
        <f t="shared" si="6"/>
        <v>50072.001680672278</v>
      </c>
      <c r="K103" s="10">
        <f t="shared" si="7"/>
        <v>59585.682000000008</v>
      </c>
    </row>
    <row r="104" spans="1:11" ht="18" customHeight="1" x14ac:dyDescent="0.2">
      <c r="A104" s="4" t="s">
        <v>7</v>
      </c>
      <c r="B104" s="5">
        <f t="shared" si="5"/>
        <v>102</v>
      </c>
      <c r="C104" s="6" t="s">
        <v>165</v>
      </c>
      <c r="D104" s="5" t="str">
        <f t="shared" ca="1" si="4"/>
        <v/>
      </c>
      <c r="E104" s="7">
        <v>1000087</v>
      </c>
      <c r="F104" s="8" t="s">
        <v>170</v>
      </c>
      <c r="G104" s="5" t="s">
        <v>10</v>
      </c>
      <c r="H104" s="9">
        <v>50085.176470588238</v>
      </c>
      <c r="I104" s="12">
        <v>59601.36</v>
      </c>
      <c r="J104" s="9">
        <f t="shared" si="6"/>
        <v>65110.729411764711</v>
      </c>
      <c r="K104" s="10">
        <f t="shared" si="7"/>
        <v>77481.767999999996</v>
      </c>
    </row>
    <row r="105" spans="1:11" ht="18" customHeight="1" x14ac:dyDescent="0.2">
      <c r="A105" s="4" t="s">
        <v>7</v>
      </c>
      <c r="B105" s="5">
        <f t="shared" si="5"/>
        <v>103</v>
      </c>
      <c r="C105" s="6" t="s">
        <v>165</v>
      </c>
      <c r="D105" s="5" t="str">
        <f t="shared" ca="1" si="4"/>
        <v/>
      </c>
      <c r="E105" s="7">
        <v>1000112</v>
      </c>
      <c r="F105" s="8" t="s">
        <v>171</v>
      </c>
      <c r="G105" s="11" t="s">
        <v>12</v>
      </c>
      <c r="H105" s="9">
        <v>461877.64705882355</v>
      </c>
      <c r="I105" s="12">
        <v>549634.4</v>
      </c>
      <c r="J105" s="9">
        <f t="shared" si="6"/>
        <v>600440.9411764706</v>
      </c>
      <c r="K105" s="10">
        <f t="shared" si="7"/>
        <v>714524.72</v>
      </c>
    </row>
    <row r="106" spans="1:11" ht="18" customHeight="1" x14ac:dyDescent="0.2">
      <c r="A106" s="4" t="s">
        <v>7</v>
      </c>
      <c r="B106" s="5">
        <f t="shared" si="5"/>
        <v>104</v>
      </c>
      <c r="C106" s="6" t="s">
        <v>165</v>
      </c>
      <c r="D106" s="5" t="str">
        <f t="shared" ca="1" si="4"/>
        <v/>
      </c>
      <c r="E106" s="7">
        <v>1000786</v>
      </c>
      <c r="F106" s="8" t="s">
        <v>172</v>
      </c>
      <c r="G106" s="11" t="s">
        <v>18</v>
      </c>
      <c r="H106" s="9">
        <v>0</v>
      </c>
      <c r="I106" s="12">
        <v>0</v>
      </c>
      <c r="J106" s="9">
        <f t="shared" si="6"/>
        <v>0</v>
      </c>
      <c r="K106" s="10">
        <f t="shared" si="7"/>
        <v>0</v>
      </c>
    </row>
    <row r="107" spans="1:11" ht="18" customHeight="1" x14ac:dyDescent="0.2">
      <c r="A107" s="4" t="s">
        <v>7</v>
      </c>
      <c r="B107" s="5">
        <f t="shared" si="5"/>
        <v>105</v>
      </c>
      <c r="C107" s="6" t="s">
        <v>173</v>
      </c>
      <c r="D107" s="5" t="str">
        <f t="shared" ca="1" si="4"/>
        <v/>
      </c>
      <c r="E107" s="7">
        <v>1000161</v>
      </c>
      <c r="F107" s="8" t="s">
        <v>174</v>
      </c>
      <c r="G107" s="11" t="s">
        <v>10</v>
      </c>
      <c r="H107" s="9">
        <v>51947.142857142855</v>
      </c>
      <c r="I107" s="12">
        <v>61817.1</v>
      </c>
      <c r="J107" s="9">
        <f t="shared" si="6"/>
        <v>67531.28571428571</v>
      </c>
      <c r="K107" s="10">
        <f t="shared" si="7"/>
        <v>80362.23</v>
      </c>
    </row>
    <row r="108" spans="1:11" ht="18" customHeight="1" x14ac:dyDescent="0.2">
      <c r="A108" s="4" t="s">
        <v>175</v>
      </c>
      <c r="B108" s="5">
        <f t="shared" si="5"/>
        <v>106</v>
      </c>
      <c r="C108" s="6" t="s">
        <v>176</v>
      </c>
      <c r="D108" s="5" t="str">
        <f t="shared" ca="1" si="4"/>
        <v/>
      </c>
      <c r="E108" s="7">
        <v>1100184</v>
      </c>
      <c r="F108" s="8" t="s">
        <v>177</v>
      </c>
      <c r="G108" s="5">
        <v>12</v>
      </c>
      <c r="H108" s="9">
        <v>30419.142857142859</v>
      </c>
      <c r="I108" s="12">
        <v>36198.78</v>
      </c>
      <c r="J108" s="9">
        <f t="shared" si="6"/>
        <v>39544.885714285716</v>
      </c>
      <c r="K108" s="10">
        <f t="shared" si="7"/>
        <v>47058.413999999997</v>
      </c>
    </row>
    <row r="109" spans="1:11" ht="18" customHeight="1" x14ac:dyDescent="0.2">
      <c r="B109" s="5">
        <f t="shared" si="5"/>
        <v>107</v>
      </c>
      <c r="C109" s="6" t="s">
        <v>178</v>
      </c>
      <c r="D109" s="5" t="str">
        <f t="shared" ca="1" si="4"/>
        <v/>
      </c>
      <c r="E109" s="7">
        <v>1100198</v>
      </c>
      <c r="F109" s="8" t="s">
        <v>179</v>
      </c>
      <c r="G109" s="11" t="s">
        <v>12</v>
      </c>
      <c r="H109" s="9">
        <v>1344900.630252101</v>
      </c>
      <c r="I109" s="12">
        <v>1600431.75</v>
      </c>
      <c r="J109" s="9">
        <f t="shared" si="6"/>
        <v>1748370.8193277314</v>
      </c>
      <c r="K109" s="10">
        <f t="shared" si="7"/>
        <v>2080561.2750000001</v>
      </c>
    </row>
    <row r="110" spans="1:11" ht="18" customHeight="1" x14ac:dyDescent="0.2">
      <c r="A110" s="4" t="s">
        <v>180</v>
      </c>
      <c r="B110" s="5">
        <f t="shared" si="5"/>
        <v>108</v>
      </c>
      <c r="C110" s="6" t="s">
        <v>178</v>
      </c>
      <c r="D110" s="5" t="str">
        <f t="shared" ca="1" si="4"/>
        <v/>
      </c>
      <c r="E110" s="7">
        <v>1100130</v>
      </c>
      <c r="F110" s="8" t="s">
        <v>181</v>
      </c>
      <c r="G110" s="11" t="s">
        <v>12</v>
      </c>
      <c r="H110" s="9">
        <v>780339.74789915979</v>
      </c>
      <c r="I110" s="10">
        <v>928604.3</v>
      </c>
      <c r="J110" s="9">
        <f t="shared" si="6"/>
        <v>1014441.6722689078</v>
      </c>
      <c r="K110" s="10">
        <f t="shared" si="7"/>
        <v>1207185.5900000001</v>
      </c>
    </row>
    <row r="111" spans="1:11" ht="18" customHeight="1" x14ac:dyDescent="0.2">
      <c r="A111" s="4" t="s">
        <v>182</v>
      </c>
      <c r="B111" s="5">
        <f t="shared" si="5"/>
        <v>109</v>
      </c>
      <c r="C111" s="6" t="s">
        <v>178</v>
      </c>
      <c r="D111" s="5" t="str">
        <f t="shared" ca="1" si="4"/>
        <v/>
      </c>
      <c r="E111" s="7">
        <v>1100294</v>
      </c>
      <c r="F111" s="8" t="s">
        <v>183</v>
      </c>
      <c r="G111" s="5">
        <v>24</v>
      </c>
      <c r="H111" s="9">
        <v>48365.546218487398</v>
      </c>
      <c r="I111" s="10">
        <v>57555</v>
      </c>
      <c r="J111" s="9">
        <f t="shared" si="6"/>
        <v>62875.210084033621</v>
      </c>
      <c r="K111" s="10">
        <f t="shared" si="7"/>
        <v>74821.5</v>
      </c>
    </row>
    <row r="112" spans="1:11" ht="18" customHeight="1" x14ac:dyDescent="0.2">
      <c r="A112" t="s">
        <v>182</v>
      </c>
      <c r="B112" s="5">
        <f t="shared" si="5"/>
        <v>110</v>
      </c>
      <c r="C112" s="6" t="s">
        <v>178</v>
      </c>
      <c r="D112" s="5" t="str">
        <f t="shared" ca="1" si="4"/>
        <v/>
      </c>
      <c r="E112" s="7">
        <v>1100142</v>
      </c>
      <c r="F112" s="8" t="s">
        <v>184</v>
      </c>
      <c r="G112" s="5">
        <v>24</v>
      </c>
      <c r="H112" s="9">
        <v>23633.344537815126</v>
      </c>
      <c r="I112" s="10">
        <v>28123.68</v>
      </c>
      <c r="J112" s="9">
        <f t="shared" si="6"/>
        <v>30723.347899159664</v>
      </c>
      <c r="K112" s="10">
        <f t="shared" si="7"/>
        <v>36560.784</v>
      </c>
    </row>
    <row r="113" spans="1:11" ht="18" customHeight="1" x14ac:dyDescent="0.2">
      <c r="A113" t="s">
        <v>185</v>
      </c>
      <c r="B113" s="5">
        <f t="shared" si="5"/>
        <v>111</v>
      </c>
      <c r="C113" s="6" t="s">
        <v>178</v>
      </c>
      <c r="D113" s="5" t="str">
        <f t="shared" ca="1" si="4"/>
        <v/>
      </c>
      <c r="E113" s="7">
        <v>1100280</v>
      </c>
      <c r="F113" s="8" t="s">
        <v>186</v>
      </c>
      <c r="G113" s="5">
        <v>24</v>
      </c>
      <c r="H113" s="9">
        <v>53790.756302521011</v>
      </c>
      <c r="I113" s="10">
        <v>64011</v>
      </c>
      <c r="J113" s="9">
        <f t="shared" si="6"/>
        <v>69927.983193277323</v>
      </c>
      <c r="K113" s="10">
        <f t="shared" si="7"/>
        <v>83214.300000000017</v>
      </c>
    </row>
    <row r="114" spans="1:11" ht="18" customHeight="1" x14ac:dyDescent="0.2">
      <c r="A114" t="s">
        <v>185</v>
      </c>
      <c r="B114" s="5">
        <f t="shared" si="5"/>
        <v>112</v>
      </c>
      <c r="C114" s="6" t="s">
        <v>178</v>
      </c>
      <c r="D114" s="5" t="str">
        <f t="shared" ca="1" si="4"/>
        <v/>
      </c>
      <c r="E114" s="7">
        <v>1100276</v>
      </c>
      <c r="F114" s="8" t="s">
        <v>187</v>
      </c>
      <c r="G114" s="5">
        <v>24</v>
      </c>
      <c r="H114" s="9">
        <v>28201.865546218491</v>
      </c>
      <c r="I114" s="10">
        <v>33560.22</v>
      </c>
      <c r="J114" s="9">
        <f t="shared" si="6"/>
        <v>36662.425210084039</v>
      </c>
      <c r="K114" s="10">
        <f t="shared" si="7"/>
        <v>43628.286000000007</v>
      </c>
    </row>
    <row r="115" spans="1:11" ht="18" customHeight="1" x14ac:dyDescent="0.2">
      <c r="A115" t="s">
        <v>185</v>
      </c>
      <c r="B115" s="5">
        <f t="shared" si="5"/>
        <v>113</v>
      </c>
      <c r="C115" s="6" t="s">
        <v>178</v>
      </c>
      <c r="D115" s="5" t="str">
        <f t="shared" ca="1" si="4"/>
        <v/>
      </c>
      <c r="E115" s="7">
        <v>1100265</v>
      </c>
      <c r="F115" s="8" t="s">
        <v>188</v>
      </c>
      <c r="G115" s="5">
        <v>24</v>
      </c>
      <c r="H115" s="9">
        <v>56440.806722689085</v>
      </c>
      <c r="I115" s="10">
        <v>67164.560000000012</v>
      </c>
      <c r="J115" s="9">
        <f t="shared" si="6"/>
        <v>73373.048739495818</v>
      </c>
      <c r="K115" s="10">
        <f t="shared" si="7"/>
        <v>87313.928000000014</v>
      </c>
    </row>
    <row r="116" spans="1:11" ht="18" customHeight="1" x14ac:dyDescent="0.2">
      <c r="A116" t="s">
        <v>185</v>
      </c>
      <c r="B116" s="5">
        <f t="shared" si="5"/>
        <v>114</v>
      </c>
      <c r="C116" s="6" t="s">
        <v>178</v>
      </c>
      <c r="D116" s="5" t="str">
        <f t="shared" ca="1" si="4"/>
        <v/>
      </c>
      <c r="E116" s="7">
        <v>1100260</v>
      </c>
      <c r="F116" s="8" t="s">
        <v>189</v>
      </c>
      <c r="G116" s="5">
        <v>12</v>
      </c>
      <c r="H116" s="9">
        <v>12513.025210084033</v>
      </c>
      <c r="I116" s="10">
        <v>14890.5</v>
      </c>
      <c r="J116" s="9">
        <f t="shared" si="6"/>
        <v>16266.932773109243</v>
      </c>
      <c r="K116" s="10">
        <f t="shared" si="7"/>
        <v>19357.649999999998</v>
      </c>
    </row>
    <row r="117" spans="1:11" ht="18" customHeight="1" x14ac:dyDescent="0.2">
      <c r="A117" s="4" t="s">
        <v>180</v>
      </c>
      <c r="B117" s="5">
        <f t="shared" si="5"/>
        <v>115</v>
      </c>
      <c r="C117" s="6" t="s">
        <v>178</v>
      </c>
      <c r="D117" s="5" t="str">
        <f t="shared" ca="1" si="4"/>
        <v/>
      </c>
      <c r="E117" s="7">
        <v>1100119</v>
      </c>
      <c r="F117" s="8" t="s">
        <v>190</v>
      </c>
      <c r="G117" s="5">
        <v>12</v>
      </c>
      <c r="H117" s="9">
        <v>44713.23529411765</v>
      </c>
      <c r="I117" s="10">
        <v>53208.75</v>
      </c>
      <c r="J117" s="9">
        <f t="shared" si="6"/>
        <v>58127.205882352944</v>
      </c>
      <c r="K117" s="10">
        <f t="shared" si="7"/>
        <v>69171.375</v>
      </c>
    </row>
    <row r="118" spans="1:11" ht="18" customHeight="1" x14ac:dyDescent="0.2">
      <c r="A118" s="4" t="s">
        <v>191</v>
      </c>
      <c r="B118" s="5">
        <f t="shared" si="5"/>
        <v>116</v>
      </c>
      <c r="C118" s="6" t="s">
        <v>178</v>
      </c>
      <c r="D118" s="5" t="str">
        <f t="shared" ca="1" si="4"/>
        <v/>
      </c>
      <c r="E118" s="7">
        <v>1100131</v>
      </c>
      <c r="F118" s="8" t="s">
        <v>192</v>
      </c>
      <c r="G118" s="5" t="s">
        <v>10</v>
      </c>
      <c r="H118" s="9">
        <v>120552.10084033613</v>
      </c>
      <c r="I118" s="10">
        <v>143457</v>
      </c>
      <c r="J118" s="9">
        <f t="shared" si="6"/>
        <v>156717.73109243697</v>
      </c>
      <c r="K118" s="10">
        <f t="shared" si="7"/>
        <v>186494.09999999998</v>
      </c>
    </row>
    <row r="119" spans="1:11" ht="18" customHeight="1" x14ac:dyDescent="0.2">
      <c r="A119" s="4" t="s">
        <v>180</v>
      </c>
      <c r="B119" s="5">
        <f t="shared" si="5"/>
        <v>117</v>
      </c>
      <c r="C119" s="6" t="s">
        <v>178</v>
      </c>
      <c r="D119" s="5" t="str">
        <f t="shared" ca="1" si="4"/>
        <v/>
      </c>
      <c r="E119" s="7">
        <v>1100284</v>
      </c>
      <c r="F119" s="8" t="s">
        <v>193</v>
      </c>
      <c r="G119" s="5" t="s">
        <v>10</v>
      </c>
      <c r="H119" s="9">
        <v>61140.756302521011</v>
      </c>
      <c r="I119" s="12">
        <v>72757.5</v>
      </c>
      <c r="J119" s="9">
        <f t="shared" si="6"/>
        <v>79482.983193277323</v>
      </c>
      <c r="K119" s="10">
        <f t="shared" si="7"/>
        <v>94584.750000000015</v>
      </c>
    </row>
    <row r="120" spans="1:11" ht="18" customHeight="1" x14ac:dyDescent="0.2">
      <c r="A120" t="s">
        <v>182</v>
      </c>
      <c r="B120" s="5">
        <f t="shared" si="5"/>
        <v>118</v>
      </c>
      <c r="C120" s="6" t="s">
        <v>178</v>
      </c>
      <c r="D120" s="5" t="str">
        <f t="shared" ca="1" si="4"/>
        <v/>
      </c>
      <c r="E120" s="7">
        <v>1100290</v>
      </c>
      <c r="F120" s="8" t="s">
        <v>194</v>
      </c>
      <c r="G120" s="5">
        <v>12</v>
      </c>
      <c r="H120" s="9">
        <v>15369.142857142861</v>
      </c>
      <c r="I120" s="12">
        <v>18289.280000000002</v>
      </c>
      <c r="J120" s="9">
        <f t="shared" si="6"/>
        <v>19979.88571428572</v>
      </c>
      <c r="K120" s="10">
        <f t="shared" si="7"/>
        <v>23776.064000000006</v>
      </c>
    </row>
    <row r="121" spans="1:11" ht="18" customHeight="1" x14ac:dyDescent="0.2">
      <c r="A121" t="s">
        <v>185</v>
      </c>
      <c r="B121" s="5">
        <f t="shared" si="5"/>
        <v>119</v>
      </c>
      <c r="C121" s="6" t="s">
        <v>178</v>
      </c>
      <c r="D121" s="5" t="str">
        <f t="shared" ca="1" si="4"/>
        <v/>
      </c>
      <c r="E121" s="7">
        <v>1100253</v>
      </c>
      <c r="F121" s="8" t="s">
        <v>195</v>
      </c>
      <c r="G121" s="11" t="s">
        <v>10</v>
      </c>
      <c r="H121" s="9">
        <v>59895.798319327732</v>
      </c>
      <c r="I121" s="12">
        <v>71276</v>
      </c>
      <c r="J121" s="9">
        <f t="shared" si="6"/>
        <v>77864.537815126052</v>
      </c>
      <c r="K121" s="10">
        <f t="shared" si="7"/>
        <v>92658.8</v>
      </c>
    </row>
    <row r="122" spans="1:11" ht="18" customHeight="1" x14ac:dyDescent="0.2">
      <c r="A122" t="s">
        <v>182</v>
      </c>
      <c r="B122" s="5">
        <f t="shared" si="5"/>
        <v>120</v>
      </c>
      <c r="C122" s="6" t="s">
        <v>178</v>
      </c>
      <c r="D122" s="5" t="str">
        <f t="shared" ca="1" si="4"/>
        <v/>
      </c>
      <c r="E122" s="7">
        <v>1100286</v>
      </c>
      <c r="F122" s="8" t="s">
        <v>196</v>
      </c>
      <c r="G122" s="11" t="s">
        <v>10</v>
      </c>
      <c r="H122" s="9">
        <v>75780.252100840342</v>
      </c>
      <c r="I122" s="12">
        <v>90178.5</v>
      </c>
      <c r="J122" s="9">
        <f t="shared" si="6"/>
        <v>98514.327731092446</v>
      </c>
      <c r="K122" s="10">
        <f t="shared" si="7"/>
        <v>117232.05</v>
      </c>
    </row>
    <row r="123" spans="1:11" ht="18" customHeight="1" x14ac:dyDescent="0.2">
      <c r="A123" t="s">
        <v>185</v>
      </c>
      <c r="B123" s="5">
        <f t="shared" si="5"/>
        <v>121</v>
      </c>
      <c r="C123" s="6" t="s">
        <v>178</v>
      </c>
      <c r="D123" s="5" t="str">
        <f t="shared" ca="1" si="4"/>
        <v/>
      </c>
      <c r="E123" s="7">
        <v>1100145</v>
      </c>
      <c r="F123" s="8" t="s">
        <v>187</v>
      </c>
      <c r="G123" s="11">
        <v>24</v>
      </c>
      <c r="H123" s="9">
        <v>21411.764705882353</v>
      </c>
      <c r="I123" s="12">
        <v>25480</v>
      </c>
      <c r="J123" s="9">
        <f t="shared" si="6"/>
        <v>27835.294117647059</v>
      </c>
      <c r="K123" s="10">
        <f t="shared" si="7"/>
        <v>33124</v>
      </c>
    </row>
    <row r="124" spans="1:11" ht="18" customHeight="1" x14ac:dyDescent="0.2">
      <c r="A124" t="s">
        <v>185</v>
      </c>
      <c r="B124" s="5">
        <f t="shared" si="5"/>
        <v>122</v>
      </c>
      <c r="C124" s="6" t="s">
        <v>178</v>
      </c>
      <c r="D124" s="5" t="str">
        <f t="shared" ca="1" si="4"/>
        <v/>
      </c>
      <c r="E124" s="7">
        <v>1100008</v>
      </c>
      <c r="F124" s="8" t="s">
        <v>197</v>
      </c>
      <c r="G124" s="11" t="s">
        <v>10</v>
      </c>
      <c r="H124" s="9">
        <v>53561.008403361353</v>
      </c>
      <c r="I124" s="12">
        <v>63737.600000000006</v>
      </c>
      <c r="J124" s="9">
        <f t="shared" si="6"/>
        <v>69629.310924369755</v>
      </c>
      <c r="K124" s="10">
        <f t="shared" si="7"/>
        <v>82858.880000000005</v>
      </c>
    </row>
    <row r="125" spans="1:11" ht="18" customHeight="1" x14ac:dyDescent="0.2">
      <c r="A125" s="4" t="s">
        <v>198</v>
      </c>
      <c r="B125" s="5">
        <f t="shared" si="5"/>
        <v>123</v>
      </c>
      <c r="C125" s="6" t="s">
        <v>178</v>
      </c>
      <c r="D125" s="5" t="str">
        <f t="shared" ca="1" si="4"/>
        <v/>
      </c>
      <c r="E125" s="7">
        <v>1100010</v>
      </c>
      <c r="F125" s="8" t="s">
        <v>199</v>
      </c>
      <c r="G125" s="11" t="s">
        <v>10</v>
      </c>
      <c r="H125" s="9">
        <v>51911.268907563026</v>
      </c>
      <c r="I125" s="12">
        <v>61774.409999999996</v>
      </c>
      <c r="J125" s="9">
        <f t="shared" si="6"/>
        <v>67484.649579831937</v>
      </c>
      <c r="K125" s="10">
        <f t="shared" si="7"/>
        <v>80306.733000000007</v>
      </c>
    </row>
    <row r="126" spans="1:11" ht="18" customHeight="1" x14ac:dyDescent="0.2">
      <c r="A126" s="4" t="s">
        <v>198</v>
      </c>
      <c r="B126" s="5">
        <f t="shared" si="5"/>
        <v>124</v>
      </c>
      <c r="C126" s="6" t="s">
        <v>178</v>
      </c>
      <c r="D126" s="5" t="str">
        <f t="shared" ca="1" si="4"/>
        <v/>
      </c>
      <c r="E126" s="7">
        <v>1100011</v>
      </c>
      <c r="F126" s="8" t="s">
        <v>200</v>
      </c>
      <c r="G126" s="11" t="s">
        <v>10</v>
      </c>
      <c r="H126" s="9">
        <v>49770.705882352944</v>
      </c>
      <c r="I126" s="10">
        <v>59227.14</v>
      </c>
      <c r="J126" s="9">
        <f t="shared" si="6"/>
        <v>64701.917647058828</v>
      </c>
      <c r="K126" s="10">
        <f t="shared" si="7"/>
        <v>76995.282000000007</v>
      </c>
    </row>
    <row r="127" spans="1:11" ht="18" customHeight="1" x14ac:dyDescent="0.2">
      <c r="A127" t="s">
        <v>182</v>
      </c>
      <c r="B127" s="5">
        <f t="shared" si="5"/>
        <v>125</v>
      </c>
      <c r="C127" s="6" t="s">
        <v>178</v>
      </c>
      <c r="D127" s="5" t="str">
        <f t="shared" ca="1" si="4"/>
        <v/>
      </c>
      <c r="E127" s="7">
        <v>1100043</v>
      </c>
      <c r="F127" s="8" t="s">
        <v>183</v>
      </c>
      <c r="G127" s="11">
        <v>24</v>
      </c>
      <c r="H127" s="9">
        <v>42124.789915966387</v>
      </c>
      <c r="I127" s="10">
        <v>50128.5</v>
      </c>
      <c r="J127" s="9">
        <f t="shared" si="6"/>
        <v>54762.226890756305</v>
      </c>
      <c r="K127" s="10">
        <f t="shared" si="7"/>
        <v>65167.05</v>
      </c>
    </row>
    <row r="128" spans="1:11" ht="18" customHeight="1" x14ac:dyDescent="0.2">
      <c r="A128" s="4" t="s">
        <v>201</v>
      </c>
      <c r="B128" s="5">
        <f t="shared" si="5"/>
        <v>126</v>
      </c>
      <c r="C128" s="6" t="s">
        <v>202</v>
      </c>
      <c r="D128" s="5" t="str">
        <f t="shared" ca="1" si="4"/>
        <v/>
      </c>
      <c r="E128" s="7">
        <v>1000992</v>
      </c>
      <c r="F128" s="8" t="s">
        <v>203</v>
      </c>
      <c r="G128" s="5">
        <v>4</v>
      </c>
      <c r="H128" s="9">
        <v>65474.957983193279</v>
      </c>
      <c r="I128" s="10">
        <v>77915.199999999997</v>
      </c>
      <c r="J128" s="9">
        <f t="shared" si="6"/>
        <v>85117.445378151271</v>
      </c>
      <c r="K128" s="10">
        <f t="shared" si="7"/>
        <v>101289.76000000001</v>
      </c>
    </row>
    <row r="129" spans="1:11" ht="18" customHeight="1" x14ac:dyDescent="0.2">
      <c r="A129" s="4" t="s">
        <v>204</v>
      </c>
      <c r="B129" s="5">
        <f t="shared" si="5"/>
        <v>127</v>
      </c>
      <c r="C129" s="6" t="s">
        <v>205</v>
      </c>
      <c r="D129" s="5" t="str">
        <f t="shared" ca="1" si="4"/>
        <v/>
      </c>
      <c r="E129" s="7">
        <v>1000027</v>
      </c>
      <c r="F129" s="8" t="s">
        <v>206</v>
      </c>
      <c r="G129" s="5">
        <v>30</v>
      </c>
      <c r="H129" s="9">
        <v>49243.117647058833</v>
      </c>
      <c r="I129" s="10">
        <v>58599.310000000005</v>
      </c>
      <c r="J129" s="9">
        <f t="shared" si="6"/>
        <v>64016.052941176487</v>
      </c>
      <c r="K129" s="10">
        <f t="shared" si="7"/>
        <v>76179.103000000017</v>
      </c>
    </row>
    <row r="130" spans="1:11" ht="18" customHeight="1" x14ac:dyDescent="0.2">
      <c r="A130" s="4" t="s">
        <v>204</v>
      </c>
      <c r="B130" s="5">
        <f t="shared" si="5"/>
        <v>128</v>
      </c>
      <c r="C130" s="6" t="s">
        <v>205</v>
      </c>
      <c r="D130" s="5" t="str">
        <f t="shared" ca="1" si="4"/>
        <v/>
      </c>
      <c r="E130" s="7">
        <v>1000224</v>
      </c>
      <c r="F130" s="8" t="s">
        <v>207</v>
      </c>
      <c r="G130" s="5">
        <v>12</v>
      </c>
      <c r="H130" s="9">
        <v>34046.941176470587</v>
      </c>
      <c r="I130" s="10">
        <v>40515.86</v>
      </c>
      <c r="J130" s="9">
        <f t="shared" si="6"/>
        <v>44261.023529411767</v>
      </c>
      <c r="K130" s="10">
        <f t="shared" si="7"/>
        <v>52670.618000000002</v>
      </c>
    </row>
    <row r="131" spans="1:11" ht="18" customHeight="1" x14ac:dyDescent="0.2">
      <c r="A131" s="4" t="s">
        <v>204</v>
      </c>
      <c r="B131" s="5">
        <f t="shared" si="5"/>
        <v>129</v>
      </c>
      <c r="C131" s="6" t="s">
        <v>205</v>
      </c>
      <c r="D131" s="5" t="str">
        <f t="shared" ref="D131:D187" ca="1" si="8">IFERROR(_xlfn.IMAGE(A131),"")</f>
        <v/>
      </c>
      <c r="E131" s="7">
        <v>1000094</v>
      </c>
      <c r="F131" s="8" t="s">
        <v>208</v>
      </c>
      <c r="G131" s="5">
        <v>6</v>
      </c>
      <c r="H131" s="9">
        <v>53973.117647058825</v>
      </c>
      <c r="I131" s="10">
        <v>64228.01</v>
      </c>
      <c r="J131" s="9">
        <f t="shared" si="6"/>
        <v>70165.052941176473</v>
      </c>
      <c r="K131" s="10">
        <f t="shared" si="7"/>
        <v>83496.413</v>
      </c>
    </row>
    <row r="132" spans="1:11" ht="18" customHeight="1" x14ac:dyDescent="0.2">
      <c r="A132" s="4" t="s">
        <v>204</v>
      </c>
      <c r="B132" s="5">
        <f t="shared" ref="B132:B187" si="9">ROW(E132)-2</f>
        <v>130</v>
      </c>
      <c r="C132" s="6" t="s">
        <v>205</v>
      </c>
      <c r="D132" s="5" t="str">
        <f t="shared" ca="1" si="8"/>
        <v/>
      </c>
      <c r="E132" s="7"/>
      <c r="F132" s="8" t="s">
        <v>209</v>
      </c>
      <c r="G132" s="11" t="s">
        <v>12</v>
      </c>
      <c r="H132" s="9">
        <v>0</v>
      </c>
      <c r="I132" s="10">
        <v>0</v>
      </c>
      <c r="J132" s="9">
        <f t="shared" ref="J132:J187" si="10">+H132*1.3</f>
        <v>0</v>
      </c>
      <c r="K132" s="10">
        <f t="shared" ref="K132:K187" si="11">+J132*1.19</f>
        <v>0</v>
      </c>
    </row>
    <row r="133" spans="1:11" ht="18" customHeight="1" x14ac:dyDescent="0.2">
      <c r="A133" s="4" t="s">
        <v>7</v>
      </c>
      <c r="B133" s="5">
        <f t="shared" si="9"/>
        <v>131</v>
      </c>
      <c r="C133" s="6" t="s">
        <v>210</v>
      </c>
      <c r="D133" s="5" t="str">
        <f t="shared" ca="1" si="8"/>
        <v/>
      </c>
      <c r="E133" s="7">
        <v>1000119</v>
      </c>
      <c r="F133" s="8" t="s">
        <v>211</v>
      </c>
      <c r="G133" s="5" t="s">
        <v>10</v>
      </c>
      <c r="H133" s="9">
        <v>52140.714285714283</v>
      </c>
      <c r="I133" s="10">
        <v>62047.45</v>
      </c>
      <c r="J133" s="9">
        <f t="shared" si="10"/>
        <v>67782.928571428565</v>
      </c>
      <c r="K133" s="10">
        <f t="shared" si="11"/>
        <v>80661.684999999983</v>
      </c>
    </row>
    <row r="134" spans="1:11" ht="18" customHeight="1" x14ac:dyDescent="0.2">
      <c r="A134" s="4" t="s">
        <v>7</v>
      </c>
      <c r="B134" s="5">
        <f t="shared" si="9"/>
        <v>132</v>
      </c>
      <c r="C134" s="6" t="s">
        <v>210</v>
      </c>
      <c r="D134" s="5" t="str">
        <f t="shared" ca="1" si="8"/>
        <v/>
      </c>
      <c r="E134" s="7">
        <v>1000243</v>
      </c>
      <c r="F134" s="8" t="s">
        <v>212</v>
      </c>
      <c r="G134" s="11">
        <v>12</v>
      </c>
      <c r="H134" s="9">
        <v>37735.79831932774</v>
      </c>
      <c r="I134" s="10">
        <v>44905.600000000006</v>
      </c>
      <c r="J134" s="9">
        <f t="shared" si="10"/>
        <v>49056.537815126067</v>
      </c>
      <c r="K134" s="10">
        <f t="shared" si="11"/>
        <v>58377.280000000013</v>
      </c>
    </row>
    <row r="135" spans="1:11" ht="18" customHeight="1" x14ac:dyDescent="0.2">
      <c r="A135" s="4" t="s">
        <v>7</v>
      </c>
      <c r="B135" s="5">
        <f t="shared" si="9"/>
        <v>133</v>
      </c>
      <c r="C135" s="6" t="s">
        <v>210</v>
      </c>
      <c r="D135" s="5" t="str">
        <f t="shared" ca="1" si="8"/>
        <v/>
      </c>
      <c r="E135" s="7">
        <v>1000118</v>
      </c>
      <c r="F135" s="8" t="s">
        <v>213</v>
      </c>
      <c r="G135" s="11" t="s">
        <v>10</v>
      </c>
      <c r="H135" s="9">
        <v>59889.999999999993</v>
      </c>
      <c r="I135" s="12">
        <v>71269.099999999991</v>
      </c>
      <c r="J135" s="9">
        <f t="shared" si="10"/>
        <v>77857</v>
      </c>
      <c r="K135" s="10">
        <f t="shared" si="11"/>
        <v>92649.83</v>
      </c>
    </row>
    <row r="136" spans="1:11" ht="18" customHeight="1" x14ac:dyDescent="0.2">
      <c r="A136" s="4" t="s">
        <v>214</v>
      </c>
      <c r="B136" s="5">
        <f t="shared" si="9"/>
        <v>134</v>
      </c>
      <c r="C136" s="6" t="s">
        <v>215</v>
      </c>
      <c r="D136" s="5" t="str">
        <f t="shared" ca="1" si="8"/>
        <v/>
      </c>
      <c r="E136" s="7">
        <v>1200217</v>
      </c>
      <c r="F136" s="8" t="s">
        <v>216</v>
      </c>
      <c r="G136" s="5">
        <v>12</v>
      </c>
      <c r="H136" s="9">
        <v>45144.201680672275</v>
      </c>
      <c r="I136" s="12">
        <v>53721.600000000006</v>
      </c>
      <c r="J136" s="9">
        <f t="shared" si="10"/>
        <v>58687.462184873963</v>
      </c>
      <c r="K136" s="10">
        <f t="shared" si="11"/>
        <v>69838.080000000016</v>
      </c>
    </row>
    <row r="137" spans="1:11" ht="18" customHeight="1" x14ac:dyDescent="0.2">
      <c r="A137" s="4" t="s">
        <v>217</v>
      </c>
      <c r="B137" s="5">
        <f t="shared" si="9"/>
        <v>135</v>
      </c>
      <c r="C137" s="6" t="s">
        <v>215</v>
      </c>
      <c r="D137" s="5" t="str">
        <f t="shared" ca="1" si="8"/>
        <v/>
      </c>
      <c r="E137" s="7">
        <v>1200215</v>
      </c>
      <c r="F137" s="8" t="s">
        <v>218</v>
      </c>
      <c r="G137" s="11">
        <v>12</v>
      </c>
      <c r="H137" s="9">
        <v>32828.23529411765</v>
      </c>
      <c r="I137" s="12">
        <v>39065.599999999999</v>
      </c>
      <c r="J137" s="9">
        <f t="shared" si="10"/>
        <v>42676.705882352944</v>
      </c>
      <c r="K137" s="10">
        <f t="shared" si="11"/>
        <v>50785.279999999999</v>
      </c>
    </row>
    <row r="138" spans="1:11" ht="18" customHeight="1" x14ac:dyDescent="0.2">
      <c r="A138" s="4" t="s">
        <v>219</v>
      </c>
      <c r="B138" s="5">
        <f t="shared" si="9"/>
        <v>136</v>
      </c>
      <c r="C138" s="6" t="s">
        <v>215</v>
      </c>
      <c r="D138" s="5" t="str">
        <f t="shared" ca="1" si="8"/>
        <v/>
      </c>
      <c r="E138" s="7">
        <v>1200213</v>
      </c>
      <c r="F138" s="8" t="s">
        <v>220</v>
      </c>
      <c r="G138" s="11">
        <v>12</v>
      </c>
      <c r="H138" s="9">
        <v>20953.277310924372</v>
      </c>
      <c r="I138" s="12">
        <v>24934.400000000001</v>
      </c>
      <c r="J138" s="9">
        <f t="shared" si="10"/>
        <v>27239.260504201684</v>
      </c>
      <c r="K138" s="10">
        <f t="shared" si="11"/>
        <v>32414.720000000001</v>
      </c>
    </row>
    <row r="139" spans="1:11" ht="18" customHeight="1" x14ac:dyDescent="0.2">
      <c r="A139" s="4" t="s">
        <v>221</v>
      </c>
      <c r="B139" s="5">
        <f t="shared" si="9"/>
        <v>137</v>
      </c>
      <c r="C139" s="6" t="s">
        <v>215</v>
      </c>
      <c r="D139" s="5" t="str">
        <f t="shared" ca="1" si="8"/>
        <v/>
      </c>
      <c r="E139" s="7">
        <v>1200216</v>
      </c>
      <c r="F139" s="8" t="s">
        <v>222</v>
      </c>
      <c r="G139" s="11">
        <v>12</v>
      </c>
      <c r="H139" s="9">
        <v>30268.23529411765</v>
      </c>
      <c r="I139" s="12">
        <v>36019.200000000004</v>
      </c>
      <c r="J139" s="9">
        <f t="shared" si="10"/>
        <v>39348.705882352944</v>
      </c>
      <c r="K139" s="10">
        <f t="shared" si="11"/>
        <v>46824.959999999999</v>
      </c>
    </row>
    <row r="140" spans="1:11" ht="18" customHeight="1" x14ac:dyDescent="0.2">
      <c r="A140" s="4" t="s">
        <v>223</v>
      </c>
      <c r="B140" s="5">
        <f t="shared" si="9"/>
        <v>138</v>
      </c>
      <c r="C140" s="6" t="s">
        <v>215</v>
      </c>
      <c r="D140" s="5" t="str">
        <f t="shared" ca="1" si="8"/>
        <v/>
      </c>
      <c r="E140" s="7">
        <v>1200214</v>
      </c>
      <c r="F140" s="8" t="s">
        <v>224</v>
      </c>
      <c r="G140" s="11">
        <v>12</v>
      </c>
      <c r="H140" s="9">
        <v>25270.588235294119</v>
      </c>
      <c r="I140" s="12">
        <v>30072</v>
      </c>
      <c r="J140" s="9">
        <f t="shared" si="10"/>
        <v>32851.764705882357</v>
      </c>
      <c r="K140" s="10">
        <f t="shared" si="11"/>
        <v>39093.600000000006</v>
      </c>
    </row>
    <row r="141" spans="1:11" ht="18" customHeight="1" x14ac:dyDescent="0.2">
      <c r="A141" s="4" t="s">
        <v>225</v>
      </c>
      <c r="B141" s="5">
        <f t="shared" si="9"/>
        <v>139</v>
      </c>
      <c r="C141" s="6" t="s">
        <v>226</v>
      </c>
      <c r="D141" s="5" t="str">
        <f t="shared" ca="1" si="8"/>
        <v/>
      </c>
      <c r="E141" s="7">
        <v>1400175</v>
      </c>
      <c r="F141" s="8" t="s">
        <v>227</v>
      </c>
      <c r="G141" s="5">
        <v>24</v>
      </c>
      <c r="H141" s="9">
        <v>28365.957983193275</v>
      </c>
      <c r="I141" s="12">
        <v>33755.49</v>
      </c>
      <c r="J141" s="9">
        <f t="shared" si="10"/>
        <v>36875.74537815126</v>
      </c>
      <c r="K141" s="10">
        <f t="shared" si="11"/>
        <v>43882.136999999995</v>
      </c>
    </row>
    <row r="142" spans="1:11" ht="18" customHeight="1" x14ac:dyDescent="0.2">
      <c r="A142" s="4" t="s">
        <v>228</v>
      </c>
      <c r="B142" s="5">
        <f t="shared" si="9"/>
        <v>140</v>
      </c>
      <c r="C142" s="6" t="s">
        <v>226</v>
      </c>
      <c r="D142" s="5" t="str">
        <f t="shared" ca="1" si="8"/>
        <v/>
      </c>
      <c r="E142" s="7">
        <v>1500006</v>
      </c>
      <c r="F142" s="8" t="s">
        <v>229</v>
      </c>
      <c r="G142" s="5">
        <v>24</v>
      </c>
      <c r="H142" s="9">
        <v>15642.310924369747</v>
      </c>
      <c r="I142" s="12">
        <v>18614.349999999999</v>
      </c>
      <c r="J142" s="9">
        <f t="shared" si="10"/>
        <v>20335.004201680673</v>
      </c>
      <c r="K142" s="10">
        <f t="shared" si="11"/>
        <v>24198.654999999999</v>
      </c>
    </row>
    <row r="143" spans="1:11" ht="18" customHeight="1" x14ac:dyDescent="0.2">
      <c r="A143" s="4" t="s">
        <v>228</v>
      </c>
      <c r="B143" s="5">
        <f t="shared" si="9"/>
        <v>141</v>
      </c>
      <c r="C143" s="6" t="s">
        <v>226</v>
      </c>
      <c r="D143" s="5" t="str">
        <f t="shared" ca="1" si="8"/>
        <v/>
      </c>
      <c r="E143" s="7">
        <v>1500010</v>
      </c>
      <c r="F143" s="8" t="s">
        <v>230</v>
      </c>
      <c r="G143" s="5">
        <v>24</v>
      </c>
      <c r="H143" s="9">
        <v>15728.151260504203</v>
      </c>
      <c r="I143" s="12">
        <v>18716.5</v>
      </c>
      <c r="J143" s="9">
        <f t="shared" si="10"/>
        <v>20446.596638655465</v>
      </c>
      <c r="K143" s="10">
        <f t="shared" si="11"/>
        <v>24331.45</v>
      </c>
    </row>
    <row r="144" spans="1:11" ht="18" customHeight="1" x14ac:dyDescent="0.2">
      <c r="A144" s="4" t="s">
        <v>228</v>
      </c>
      <c r="B144" s="5">
        <f t="shared" si="9"/>
        <v>142</v>
      </c>
      <c r="C144" s="6" t="s">
        <v>226</v>
      </c>
      <c r="D144" s="5" t="str">
        <f t="shared" ca="1" si="8"/>
        <v/>
      </c>
      <c r="E144" s="7">
        <v>1500012</v>
      </c>
      <c r="F144" s="8" t="s">
        <v>231</v>
      </c>
      <c r="G144" s="5">
        <v>24</v>
      </c>
      <c r="H144" s="9">
        <v>15579.159663865548</v>
      </c>
      <c r="I144" s="12">
        <v>18539.2</v>
      </c>
      <c r="J144" s="9">
        <f t="shared" si="10"/>
        <v>20252.907563025212</v>
      </c>
      <c r="K144" s="10">
        <f t="shared" si="11"/>
        <v>24100.960000000003</v>
      </c>
    </row>
    <row r="145" spans="1:11" ht="18" customHeight="1" x14ac:dyDescent="0.2">
      <c r="A145" s="4" t="s">
        <v>228</v>
      </c>
      <c r="B145" s="5">
        <f t="shared" si="9"/>
        <v>143</v>
      </c>
      <c r="C145" s="6" t="s">
        <v>226</v>
      </c>
      <c r="D145" s="5" t="str">
        <f t="shared" ca="1" si="8"/>
        <v/>
      </c>
      <c r="E145" s="7">
        <v>1500008</v>
      </c>
      <c r="F145" s="8" t="s">
        <v>232</v>
      </c>
      <c r="G145" s="5">
        <v>24</v>
      </c>
      <c r="H145" s="9">
        <v>15983.571428571429</v>
      </c>
      <c r="I145" s="10">
        <v>19020.45</v>
      </c>
      <c r="J145" s="9">
        <f t="shared" si="10"/>
        <v>20778.642857142859</v>
      </c>
      <c r="K145" s="10">
        <f t="shared" si="11"/>
        <v>24726.584999999999</v>
      </c>
    </row>
    <row r="146" spans="1:11" ht="18" customHeight="1" x14ac:dyDescent="0.2">
      <c r="A146" s="4" t="s">
        <v>228</v>
      </c>
      <c r="B146" s="5">
        <f t="shared" si="9"/>
        <v>144</v>
      </c>
      <c r="C146" s="6" t="s">
        <v>226</v>
      </c>
      <c r="D146" s="5" t="str">
        <f t="shared" ca="1" si="8"/>
        <v/>
      </c>
      <c r="E146" s="7">
        <v>1500014</v>
      </c>
      <c r="F146" s="8" t="s">
        <v>233</v>
      </c>
      <c r="G146" s="5">
        <v>24</v>
      </c>
      <c r="H146" s="9">
        <v>15583.394957983195</v>
      </c>
      <c r="I146" s="12">
        <v>18544.240000000002</v>
      </c>
      <c r="J146" s="9">
        <f t="shared" si="10"/>
        <v>20258.413445378155</v>
      </c>
      <c r="K146" s="10">
        <f t="shared" si="11"/>
        <v>24107.512000000002</v>
      </c>
    </row>
    <row r="147" spans="1:11" ht="18" customHeight="1" x14ac:dyDescent="0.2">
      <c r="A147" s="4" t="s">
        <v>228</v>
      </c>
      <c r="B147" s="5">
        <f t="shared" si="9"/>
        <v>145</v>
      </c>
      <c r="C147" s="6" t="s">
        <v>226</v>
      </c>
      <c r="D147" s="5" t="str">
        <f t="shared" ca="1" si="8"/>
        <v/>
      </c>
      <c r="E147" s="7">
        <v>1500004</v>
      </c>
      <c r="F147" s="8" t="s">
        <v>234</v>
      </c>
      <c r="G147" s="5">
        <v>24</v>
      </c>
      <c r="H147" s="9">
        <v>15514.025210084033</v>
      </c>
      <c r="I147" s="12">
        <v>18461.689999999999</v>
      </c>
      <c r="J147" s="9">
        <f t="shared" si="10"/>
        <v>20168.232773109245</v>
      </c>
      <c r="K147" s="10">
        <f t="shared" si="11"/>
        <v>24000.197</v>
      </c>
    </row>
    <row r="148" spans="1:11" ht="18" customHeight="1" x14ac:dyDescent="0.2">
      <c r="A148" s="4" t="s">
        <v>235</v>
      </c>
      <c r="B148" s="5">
        <f t="shared" si="9"/>
        <v>146</v>
      </c>
      <c r="C148" s="6" t="s">
        <v>226</v>
      </c>
      <c r="D148" s="5" t="str">
        <f t="shared" ca="1" si="8"/>
        <v/>
      </c>
      <c r="E148" s="7">
        <v>1400207</v>
      </c>
      <c r="F148" s="8" t="s">
        <v>236</v>
      </c>
      <c r="G148" s="5">
        <v>12</v>
      </c>
      <c r="H148" s="9">
        <v>26304.201680672271</v>
      </c>
      <c r="I148" s="12">
        <v>31302</v>
      </c>
      <c r="J148" s="9">
        <f t="shared" si="10"/>
        <v>34195.462184873955</v>
      </c>
      <c r="K148" s="10">
        <f t="shared" si="11"/>
        <v>40692.600000000006</v>
      </c>
    </row>
    <row r="149" spans="1:11" ht="18" customHeight="1" x14ac:dyDescent="0.2">
      <c r="A149" s="4" t="s">
        <v>237</v>
      </c>
      <c r="B149" s="5">
        <f t="shared" si="9"/>
        <v>147</v>
      </c>
      <c r="C149" s="6" t="s">
        <v>226</v>
      </c>
      <c r="D149" s="5" t="str">
        <f t="shared" ca="1" si="8"/>
        <v/>
      </c>
      <c r="E149" s="7">
        <v>1400159</v>
      </c>
      <c r="F149" s="8" t="s">
        <v>238</v>
      </c>
      <c r="G149" s="5">
        <v>12</v>
      </c>
      <c r="H149" s="9">
        <v>29485.966386554624</v>
      </c>
      <c r="I149" s="10">
        <v>35088.300000000003</v>
      </c>
      <c r="J149" s="9">
        <f t="shared" si="10"/>
        <v>38331.756302521011</v>
      </c>
      <c r="K149" s="10">
        <f t="shared" si="11"/>
        <v>45614.79</v>
      </c>
    </row>
    <row r="150" spans="1:11" ht="18" customHeight="1" x14ac:dyDescent="0.2">
      <c r="A150" s="4" t="s">
        <v>239</v>
      </c>
      <c r="B150" s="5">
        <f t="shared" si="9"/>
        <v>148</v>
      </c>
      <c r="C150" s="6" t="s">
        <v>226</v>
      </c>
      <c r="D150" s="5" t="str">
        <f t="shared" ca="1" si="8"/>
        <v/>
      </c>
      <c r="E150" s="7">
        <v>1400195</v>
      </c>
      <c r="F150" s="8" t="s">
        <v>240</v>
      </c>
      <c r="G150" s="5">
        <v>12</v>
      </c>
      <c r="H150" s="9">
        <v>36102.184873949584</v>
      </c>
      <c r="I150" s="12">
        <v>42961.600000000006</v>
      </c>
      <c r="J150" s="9">
        <f t="shared" si="10"/>
        <v>46932.840336134461</v>
      </c>
      <c r="K150" s="10">
        <f t="shared" si="11"/>
        <v>55850.080000000009</v>
      </c>
    </row>
    <row r="151" spans="1:11" ht="18" customHeight="1" x14ac:dyDescent="0.2">
      <c r="A151" s="4" t="s">
        <v>241</v>
      </c>
      <c r="B151" s="5">
        <f t="shared" si="9"/>
        <v>149</v>
      </c>
      <c r="C151" s="6" t="s">
        <v>226</v>
      </c>
      <c r="D151" s="5" t="str">
        <f t="shared" ca="1" si="8"/>
        <v/>
      </c>
      <c r="E151" s="7">
        <v>1500328</v>
      </c>
      <c r="F151" s="8" t="s">
        <v>242</v>
      </c>
      <c r="G151" s="5">
        <v>12</v>
      </c>
      <c r="H151" s="9">
        <v>13494.428571428571</v>
      </c>
      <c r="I151" s="12">
        <v>16058.369999999999</v>
      </c>
      <c r="J151" s="9">
        <f t="shared" si="10"/>
        <v>17542.757142857143</v>
      </c>
      <c r="K151" s="10">
        <f t="shared" si="11"/>
        <v>20875.880999999998</v>
      </c>
    </row>
    <row r="152" spans="1:11" ht="18" customHeight="1" x14ac:dyDescent="0.2">
      <c r="A152" s="4" t="s">
        <v>243</v>
      </c>
      <c r="B152" s="5">
        <f t="shared" si="9"/>
        <v>150</v>
      </c>
      <c r="C152" s="6" t="s">
        <v>226</v>
      </c>
      <c r="D152" s="5" t="str">
        <f t="shared" ca="1" si="8"/>
        <v/>
      </c>
      <c r="E152" s="7">
        <v>1400185</v>
      </c>
      <c r="F152" s="8" t="s">
        <v>244</v>
      </c>
      <c r="G152" s="5">
        <v>12</v>
      </c>
      <c r="H152" s="9">
        <v>16657.563025210085</v>
      </c>
      <c r="I152" s="12">
        <v>19822.5</v>
      </c>
      <c r="J152" s="9">
        <f t="shared" si="10"/>
        <v>21654.831932773111</v>
      </c>
      <c r="K152" s="10">
        <f t="shared" si="11"/>
        <v>25769.25</v>
      </c>
    </row>
    <row r="153" spans="1:11" ht="18" customHeight="1" x14ac:dyDescent="0.2">
      <c r="A153" t="s">
        <v>225</v>
      </c>
      <c r="B153" s="5">
        <f t="shared" si="9"/>
        <v>151</v>
      </c>
      <c r="C153" s="6" t="s">
        <v>226</v>
      </c>
      <c r="D153" s="5" t="str">
        <f t="shared" ca="1" si="8"/>
        <v/>
      </c>
      <c r="E153" s="7">
        <v>1400163</v>
      </c>
      <c r="F153" s="8" t="s">
        <v>245</v>
      </c>
      <c r="G153" s="5">
        <v>6</v>
      </c>
      <c r="H153" s="9">
        <v>58529.747899159673</v>
      </c>
      <c r="I153" s="12">
        <v>69650.400000000009</v>
      </c>
      <c r="J153" s="9">
        <f t="shared" si="10"/>
        <v>76088.672268907583</v>
      </c>
      <c r="K153" s="10">
        <f t="shared" si="11"/>
        <v>90545.520000000019</v>
      </c>
    </row>
    <row r="154" spans="1:11" ht="18" customHeight="1" x14ac:dyDescent="0.2">
      <c r="A154" s="4" t="s">
        <v>237</v>
      </c>
      <c r="B154" s="5">
        <f t="shared" si="9"/>
        <v>152</v>
      </c>
      <c r="C154" s="6" t="s">
        <v>226</v>
      </c>
      <c r="D154" s="5" t="str">
        <f t="shared" ca="1" si="8"/>
        <v/>
      </c>
      <c r="E154" s="7">
        <v>1400161</v>
      </c>
      <c r="F154" s="8" t="s">
        <v>246</v>
      </c>
      <c r="G154" s="5">
        <v>6</v>
      </c>
      <c r="H154" s="9">
        <v>35597.268907563026</v>
      </c>
      <c r="I154" s="12">
        <v>42360.75</v>
      </c>
      <c r="J154" s="9">
        <f t="shared" si="10"/>
        <v>46276.449579831933</v>
      </c>
      <c r="K154" s="10">
        <f t="shared" si="11"/>
        <v>55068.974999999999</v>
      </c>
    </row>
    <row r="155" spans="1:11" ht="18" customHeight="1" x14ac:dyDescent="0.2">
      <c r="A155" s="4" t="s">
        <v>239</v>
      </c>
      <c r="B155" s="5">
        <f t="shared" si="9"/>
        <v>153</v>
      </c>
      <c r="C155" s="6" t="s">
        <v>226</v>
      </c>
      <c r="D155" s="5" t="str">
        <f t="shared" ca="1" si="8"/>
        <v/>
      </c>
      <c r="E155" s="7">
        <v>1400197</v>
      </c>
      <c r="F155" s="8" t="s">
        <v>247</v>
      </c>
      <c r="G155" s="5">
        <v>6</v>
      </c>
      <c r="H155" s="9">
        <v>71279.294117647063</v>
      </c>
      <c r="I155" s="12">
        <v>84822.36</v>
      </c>
      <c r="J155" s="9">
        <f t="shared" si="10"/>
        <v>92663.082352941186</v>
      </c>
      <c r="K155" s="10">
        <f t="shared" si="11"/>
        <v>110269.06800000001</v>
      </c>
    </row>
    <row r="156" spans="1:11" ht="18" customHeight="1" x14ac:dyDescent="0.2">
      <c r="A156" s="4" t="s">
        <v>241</v>
      </c>
      <c r="B156" s="5">
        <f t="shared" si="9"/>
        <v>154</v>
      </c>
      <c r="C156" s="6" t="s">
        <v>226</v>
      </c>
      <c r="D156" s="5" t="str">
        <f t="shared" ca="1" si="8"/>
        <v/>
      </c>
      <c r="E156" s="7">
        <v>1500326</v>
      </c>
      <c r="F156" s="8" t="s">
        <v>248</v>
      </c>
      <c r="G156" s="5">
        <v>6</v>
      </c>
      <c r="H156" s="9">
        <v>17775</v>
      </c>
      <c r="I156" s="12">
        <v>21152.25</v>
      </c>
      <c r="J156" s="9">
        <f t="shared" si="10"/>
        <v>23107.5</v>
      </c>
      <c r="K156" s="10">
        <f t="shared" si="11"/>
        <v>27497.924999999999</v>
      </c>
    </row>
    <row r="157" spans="1:11" ht="18" customHeight="1" x14ac:dyDescent="0.2">
      <c r="A157" s="4" t="s">
        <v>249</v>
      </c>
      <c r="B157" s="5">
        <f t="shared" si="9"/>
        <v>155</v>
      </c>
      <c r="C157" s="6" t="s">
        <v>226</v>
      </c>
      <c r="D157" s="5" t="str">
        <f t="shared" ca="1" si="8"/>
        <v/>
      </c>
      <c r="E157" s="7">
        <v>1400169</v>
      </c>
      <c r="F157" s="8" t="s">
        <v>250</v>
      </c>
      <c r="G157" s="11">
        <v>12</v>
      </c>
      <c r="H157" s="9">
        <v>18443.109243697483</v>
      </c>
      <c r="I157" s="12">
        <v>21947.300000000003</v>
      </c>
      <c r="J157" s="9">
        <f t="shared" si="10"/>
        <v>23976.042016806728</v>
      </c>
      <c r="K157" s="10">
        <f t="shared" si="11"/>
        <v>28531.490000000005</v>
      </c>
    </row>
    <row r="158" spans="1:11" ht="18" customHeight="1" x14ac:dyDescent="0.2">
      <c r="A158" s="4" t="s">
        <v>243</v>
      </c>
      <c r="B158" s="5">
        <f t="shared" si="9"/>
        <v>156</v>
      </c>
      <c r="C158" s="6" t="s">
        <v>226</v>
      </c>
      <c r="D158" s="5" t="str">
        <f t="shared" ca="1" si="8"/>
        <v/>
      </c>
      <c r="E158" s="7">
        <v>1400165</v>
      </c>
      <c r="F158" s="8" t="s">
        <v>251</v>
      </c>
      <c r="G158" s="11">
        <v>6</v>
      </c>
      <c r="H158" s="9">
        <v>53836.428571428572</v>
      </c>
      <c r="I158" s="12">
        <v>64065.35</v>
      </c>
      <c r="J158" s="9">
        <f t="shared" si="10"/>
        <v>69987.357142857145</v>
      </c>
      <c r="K158" s="10">
        <f t="shared" si="11"/>
        <v>83284.955000000002</v>
      </c>
    </row>
    <row r="159" spans="1:11" ht="18" customHeight="1" x14ac:dyDescent="0.2">
      <c r="A159" s="4" t="s">
        <v>252</v>
      </c>
      <c r="B159" s="5">
        <f t="shared" si="9"/>
        <v>157</v>
      </c>
      <c r="C159" s="6" t="s">
        <v>226</v>
      </c>
      <c r="D159" s="5" t="str">
        <f t="shared" ca="1" si="8"/>
        <v/>
      </c>
      <c r="E159" s="7">
        <v>1400086</v>
      </c>
      <c r="F159" s="8" t="s">
        <v>253</v>
      </c>
      <c r="G159" s="11">
        <v>12</v>
      </c>
      <c r="H159" s="9">
        <v>29390.714285714286</v>
      </c>
      <c r="I159" s="12">
        <v>34974.949999999997</v>
      </c>
      <c r="J159" s="9">
        <f t="shared" si="10"/>
        <v>38207.928571428572</v>
      </c>
      <c r="K159" s="10">
        <f t="shared" si="11"/>
        <v>45467.434999999998</v>
      </c>
    </row>
    <row r="160" spans="1:11" ht="18" customHeight="1" x14ac:dyDescent="0.2">
      <c r="A160" s="4" t="s">
        <v>254</v>
      </c>
      <c r="B160" s="5">
        <f t="shared" si="9"/>
        <v>158</v>
      </c>
      <c r="C160" s="6" t="s">
        <v>226</v>
      </c>
      <c r="D160" s="5" t="str">
        <f t="shared" ca="1" si="8"/>
        <v/>
      </c>
      <c r="E160" s="7">
        <v>1400085</v>
      </c>
      <c r="F160" s="8" t="s">
        <v>255</v>
      </c>
      <c r="G160" s="11">
        <v>12</v>
      </c>
      <c r="H160" s="9">
        <v>28885.714285714286</v>
      </c>
      <c r="I160" s="12">
        <v>34374</v>
      </c>
      <c r="J160" s="9">
        <f t="shared" si="10"/>
        <v>37551.428571428572</v>
      </c>
      <c r="K160" s="10">
        <f t="shared" si="11"/>
        <v>44686.2</v>
      </c>
    </row>
    <row r="161" spans="1:11" ht="18" customHeight="1" x14ac:dyDescent="0.2">
      <c r="A161" s="4" t="s">
        <v>7</v>
      </c>
      <c r="B161" s="5">
        <f t="shared" si="9"/>
        <v>159</v>
      </c>
      <c r="C161" s="6" t="s">
        <v>256</v>
      </c>
      <c r="D161" s="5" t="str">
        <f t="shared" ca="1" si="8"/>
        <v/>
      </c>
      <c r="E161" s="7">
        <v>1000703</v>
      </c>
      <c r="F161" s="8" t="s">
        <v>257</v>
      </c>
      <c r="G161" s="11" t="s">
        <v>12</v>
      </c>
      <c r="H161" s="9">
        <v>625921.3445378152</v>
      </c>
      <c r="I161" s="12">
        <v>744846.4</v>
      </c>
      <c r="J161" s="9">
        <f t="shared" si="10"/>
        <v>813697.74789915979</v>
      </c>
      <c r="K161" s="10">
        <f t="shared" si="11"/>
        <v>968300.32000000007</v>
      </c>
    </row>
    <row r="162" spans="1:11" ht="18" customHeight="1" x14ac:dyDescent="0.2">
      <c r="A162" s="4" t="s">
        <v>7</v>
      </c>
      <c r="B162" s="5">
        <f t="shared" si="9"/>
        <v>160</v>
      </c>
      <c r="C162" s="6" t="s">
        <v>256</v>
      </c>
      <c r="D162" s="5" t="str">
        <f t="shared" ca="1" si="8"/>
        <v/>
      </c>
      <c r="E162" s="7">
        <v>1000709</v>
      </c>
      <c r="F162" s="8" t="s">
        <v>292</v>
      </c>
      <c r="G162" s="11" t="s">
        <v>12</v>
      </c>
      <c r="H162" s="9">
        <v>455259.15966386558</v>
      </c>
      <c r="I162" s="10">
        <v>541758.4</v>
      </c>
      <c r="J162" s="9">
        <f t="shared" si="10"/>
        <v>591836.90756302525</v>
      </c>
      <c r="K162" s="10">
        <f t="shared" si="11"/>
        <v>704285.92</v>
      </c>
    </row>
    <row r="163" spans="1:11" ht="18" customHeight="1" x14ac:dyDescent="0.2">
      <c r="A163" s="4" t="s">
        <v>7</v>
      </c>
      <c r="B163" s="5">
        <f t="shared" si="9"/>
        <v>161</v>
      </c>
      <c r="C163" s="6" t="s">
        <v>256</v>
      </c>
      <c r="D163" s="5" t="str">
        <f t="shared" ca="1" si="8"/>
        <v/>
      </c>
      <c r="E163" s="7">
        <v>1000707</v>
      </c>
      <c r="F163" s="8" t="s">
        <v>293</v>
      </c>
      <c r="G163" s="11" t="s">
        <v>12</v>
      </c>
      <c r="H163" s="9">
        <v>558440.33613445377</v>
      </c>
      <c r="I163" s="10">
        <v>664544</v>
      </c>
      <c r="J163" s="9">
        <f t="shared" si="10"/>
        <v>725972.43697478995</v>
      </c>
      <c r="K163" s="10">
        <f t="shared" si="11"/>
        <v>863907.2</v>
      </c>
    </row>
    <row r="164" spans="1:11" ht="18" customHeight="1" x14ac:dyDescent="0.2">
      <c r="A164" s="4" t="s">
        <v>7</v>
      </c>
      <c r="B164" s="5">
        <f t="shared" si="9"/>
        <v>162</v>
      </c>
      <c r="C164" s="6" t="s">
        <v>256</v>
      </c>
      <c r="D164" s="5" t="str">
        <f t="shared" ca="1" si="8"/>
        <v/>
      </c>
      <c r="E164" s="7">
        <v>1000705</v>
      </c>
      <c r="F164" s="8" t="s">
        <v>294</v>
      </c>
      <c r="G164" s="11" t="s">
        <v>12</v>
      </c>
      <c r="H164" s="9">
        <v>511963.02521008404</v>
      </c>
      <c r="I164" s="12">
        <v>609236</v>
      </c>
      <c r="J164" s="9">
        <f t="shared" si="10"/>
        <v>665551.93277310929</v>
      </c>
      <c r="K164" s="10">
        <f t="shared" si="11"/>
        <v>792006.8</v>
      </c>
    </row>
    <row r="165" spans="1:11" ht="18" customHeight="1" x14ac:dyDescent="0.2">
      <c r="A165" s="4" t="s">
        <v>7</v>
      </c>
      <c r="B165" s="5">
        <f t="shared" si="9"/>
        <v>163</v>
      </c>
      <c r="C165" s="6" t="s">
        <v>256</v>
      </c>
      <c r="D165" s="5" t="str">
        <f t="shared" ca="1" si="8"/>
        <v/>
      </c>
      <c r="E165" s="7">
        <v>1000704</v>
      </c>
      <c r="F165" s="8" t="s">
        <v>295</v>
      </c>
      <c r="G165" s="11" t="s">
        <v>12</v>
      </c>
      <c r="H165" s="9">
        <v>498867.89915966394</v>
      </c>
      <c r="I165" s="12">
        <v>593652.80000000005</v>
      </c>
      <c r="J165" s="9">
        <f t="shared" si="10"/>
        <v>648528.26890756318</v>
      </c>
      <c r="K165" s="10">
        <f t="shared" si="11"/>
        <v>771748.64000000013</v>
      </c>
    </row>
    <row r="166" spans="1:11" ht="18" customHeight="1" x14ac:dyDescent="0.2">
      <c r="A166" s="4" t="s">
        <v>7</v>
      </c>
      <c r="B166" s="5">
        <f t="shared" si="9"/>
        <v>164</v>
      </c>
      <c r="C166" s="6" t="s">
        <v>256</v>
      </c>
      <c r="D166" s="5" t="str">
        <f t="shared" ca="1" si="8"/>
        <v/>
      </c>
      <c r="E166" s="7">
        <v>1000708</v>
      </c>
      <c r="F166" s="8" t="s">
        <v>296</v>
      </c>
      <c r="G166" s="11" t="s">
        <v>10</v>
      </c>
      <c r="H166" s="9">
        <v>63789.999999999993</v>
      </c>
      <c r="I166" s="12">
        <v>75910.099999999991</v>
      </c>
      <c r="J166" s="9">
        <f t="shared" si="10"/>
        <v>82927</v>
      </c>
      <c r="K166" s="10">
        <f t="shared" si="11"/>
        <v>98683.12999999999</v>
      </c>
    </row>
    <row r="167" spans="1:11" ht="18" customHeight="1" x14ac:dyDescent="0.2">
      <c r="A167" s="4" t="s">
        <v>7</v>
      </c>
      <c r="B167" s="5">
        <f t="shared" si="9"/>
        <v>165</v>
      </c>
      <c r="C167" s="6" t="s">
        <v>256</v>
      </c>
      <c r="D167" s="5" t="str">
        <f t="shared" ca="1" si="8"/>
        <v/>
      </c>
      <c r="E167" s="7">
        <v>1000706</v>
      </c>
      <c r="F167" s="8" t="s">
        <v>297</v>
      </c>
      <c r="G167" s="11" t="s">
        <v>10</v>
      </c>
      <c r="H167" s="9">
        <v>53604.285714285717</v>
      </c>
      <c r="I167" s="12">
        <v>63789.1</v>
      </c>
      <c r="J167" s="9">
        <f t="shared" si="10"/>
        <v>69685.571428571435</v>
      </c>
      <c r="K167" s="10">
        <f t="shared" si="11"/>
        <v>82925.83</v>
      </c>
    </row>
    <row r="168" spans="1:11" ht="18" customHeight="1" x14ac:dyDescent="0.2">
      <c r="A168" s="4" t="s">
        <v>7</v>
      </c>
      <c r="B168" s="5">
        <f t="shared" si="9"/>
        <v>166</v>
      </c>
      <c r="C168" s="6" t="s">
        <v>256</v>
      </c>
      <c r="D168" s="5" t="str">
        <f t="shared" ca="1" si="8"/>
        <v/>
      </c>
      <c r="E168" s="7">
        <v>1000701</v>
      </c>
      <c r="F168" s="8" t="s">
        <v>298</v>
      </c>
      <c r="G168" s="11" t="s">
        <v>10</v>
      </c>
      <c r="H168" s="9">
        <v>52028.571428571428</v>
      </c>
      <c r="I168" s="12">
        <v>61914</v>
      </c>
      <c r="J168" s="9">
        <f t="shared" si="10"/>
        <v>67637.142857142855</v>
      </c>
      <c r="K168" s="10">
        <f t="shared" si="11"/>
        <v>80488.2</v>
      </c>
    </row>
    <row r="169" spans="1:11" ht="18" customHeight="1" x14ac:dyDescent="0.2">
      <c r="A169" s="4" t="s">
        <v>7</v>
      </c>
      <c r="B169" s="5">
        <f t="shared" si="9"/>
        <v>167</v>
      </c>
      <c r="C169" s="6" t="s">
        <v>256</v>
      </c>
      <c r="D169" s="5" t="str">
        <f t="shared" ca="1" si="8"/>
        <v/>
      </c>
      <c r="E169" s="7">
        <v>1000702</v>
      </c>
      <c r="F169" s="8" t="s">
        <v>299</v>
      </c>
      <c r="G169" s="11" t="s">
        <v>10</v>
      </c>
      <c r="H169" s="9">
        <v>57655.71428571429</v>
      </c>
      <c r="I169" s="12">
        <v>68610.3</v>
      </c>
      <c r="J169" s="9">
        <f t="shared" si="10"/>
        <v>74952.42857142858</v>
      </c>
      <c r="K169" s="10">
        <f t="shared" si="11"/>
        <v>89193.39</v>
      </c>
    </row>
    <row r="170" spans="1:11" ht="18" customHeight="1" x14ac:dyDescent="0.2">
      <c r="A170" s="4" t="s">
        <v>7</v>
      </c>
      <c r="B170" s="5">
        <f t="shared" si="9"/>
        <v>168</v>
      </c>
      <c r="C170" s="6" t="s">
        <v>256</v>
      </c>
      <c r="D170" s="5" t="str">
        <f t="shared" ca="1" si="8"/>
        <v/>
      </c>
      <c r="E170" s="7">
        <v>1000699</v>
      </c>
      <c r="F170" s="8" t="s">
        <v>300</v>
      </c>
      <c r="G170" s="11" t="s">
        <v>10</v>
      </c>
      <c r="H170" s="9">
        <v>44429.285714285717</v>
      </c>
      <c r="I170" s="12">
        <v>52870.85</v>
      </c>
      <c r="J170" s="9">
        <f t="shared" si="10"/>
        <v>57758.071428571435</v>
      </c>
      <c r="K170" s="10">
        <f t="shared" si="11"/>
        <v>68732.10500000001</v>
      </c>
    </row>
    <row r="171" spans="1:11" ht="18" customHeight="1" x14ac:dyDescent="0.2">
      <c r="A171" s="4" t="s">
        <v>258</v>
      </c>
      <c r="B171" s="5">
        <f t="shared" si="9"/>
        <v>169</v>
      </c>
      <c r="C171" s="6" t="s">
        <v>259</v>
      </c>
      <c r="D171" s="5" t="str">
        <f t="shared" ca="1" si="8"/>
        <v/>
      </c>
      <c r="E171" s="7">
        <v>1400102</v>
      </c>
      <c r="F171" s="8" t="s">
        <v>260</v>
      </c>
      <c r="G171" s="5">
        <v>12</v>
      </c>
      <c r="H171" s="9">
        <v>23715.714285714286</v>
      </c>
      <c r="I171" s="12">
        <v>28221.7</v>
      </c>
      <c r="J171" s="9">
        <f t="shared" si="10"/>
        <v>30830.428571428572</v>
      </c>
      <c r="K171" s="10">
        <f t="shared" si="11"/>
        <v>36688.21</v>
      </c>
    </row>
    <row r="172" spans="1:11" ht="18" customHeight="1" x14ac:dyDescent="0.2">
      <c r="A172" s="4" t="s">
        <v>261</v>
      </c>
      <c r="B172" s="5">
        <f t="shared" si="9"/>
        <v>170</v>
      </c>
      <c r="C172" s="6" t="s">
        <v>259</v>
      </c>
      <c r="D172" s="5" t="str">
        <f t="shared" ca="1" si="8"/>
        <v/>
      </c>
      <c r="E172" s="7">
        <v>1400100</v>
      </c>
      <c r="F172" s="8" t="s">
        <v>262</v>
      </c>
      <c r="G172" s="5">
        <v>12</v>
      </c>
      <c r="H172" s="9">
        <v>23291.302521008405</v>
      </c>
      <c r="I172" s="12">
        <v>27716.65</v>
      </c>
      <c r="J172" s="9">
        <f t="shared" si="10"/>
        <v>30278.693277310929</v>
      </c>
      <c r="K172" s="10">
        <f t="shared" si="11"/>
        <v>36031.645000000004</v>
      </c>
    </row>
    <row r="173" spans="1:11" ht="18" customHeight="1" x14ac:dyDescent="0.2">
      <c r="A173" s="4" t="s">
        <v>263</v>
      </c>
      <c r="B173" s="5">
        <f t="shared" si="9"/>
        <v>171</v>
      </c>
      <c r="C173" s="6" t="s">
        <v>259</v>
      </c>
      <c r="D173" s="5" t="str">
        <f t="shared" ca="1" si="8"/>
        <v/>
      </c>
      <c r="E173" s="7">
        <v>1400092</v>
      </c>
      <c r="F173" s="8" t="s">
        <v>264</v>
      </c>
      <c r="G173" s="5">
        <v>12</v>
      </c>
      <c r="H173" s="9">
        <v>27350.420168067227</v>
      </c>
      <c r="I173" s="12">
        <v>32547</v>
      </c>
      <c r="J173" s="9">
        <f t="shared" si="10"/>
        <v>35555.546218487398</v>
      </c>
      <c r="K173" s="10">
        <f t="shared" si="11"/>
        <v>42311.1</v>
      </c>
    </row>
    <row r="174" spans="1:11" ht="18" customHeight="1" x14ac:dyDescent="0.2">
      <c r="A174" s="4" t="s">
        <v>265</v>
      </c>
      <c r="B174" s="5">
        <f t="shared" si="9"/>
        <v>172</v>
      </c>
      <c r="C174" s="14" t="s">
        <v>259</v>
      </c>
      <c r="D174" s="13" t="str">
        <f t="shared" ca="1" si="8"/>
        <v/>
      </c>
      <c r="E174" s="15">
        <v>1400094</v>
      </c>
      <c r="F174" s="16" t="s">
        <v>266</v>
      </c>
      <c r="G174" s="17">
        <v>12</v>
      </c>
      <c r="H174" s="18">
        <v>32782.563025210089</v>
      </c>
      <c r="I174" s="19">
        <v>39011.25</v>
      </c>
      <c r="J174" s="9">
        <f t="shared" si="10"/>
        <v>42617.331932773115</v>
      </c>
      <c r="K174" s="10">
        <f t="shared" si="11"/>
        <v>50714.625000000007</v>
      </c>
    </row>
    <row r="175" spans="1:11" ht="18" customHeight="1" x14ac:dyDescent="0.2">
      <c r="A175" s="4" t="s">
        <v>267</v>
      </c>
      <c r="B175" s="5">
        <f t="shared" si="9"/>
        <v>173</v>
      </c>
      <c r="C175" s="6" t="s">
        <v>259</v>
      </c>
      <c r="D175" s="13" t="str">
        <f t="shared" ca="1" si="8"/>
        <v/>
      </c>
      <c r="E175" s="7">
        <v>1400132</v>
      </c>
      <c r="F175" s="8" t="s">
        <v>268</v>
      </c>
      <c r="G175" s="13">
        <v>12</v>
      </c>
      <c r="H175" s="18">
        <v>21728.025210084037</v>
      </c>
      <c r="I175" s="19">
        <v>25856.350000000002</v>
      </c>
      <c r="J175" s="9">
        <f t="shared" si="10"/>
        <v>28246.432773109249</v>
      </c>
      <c r="K175" s="10">
        <f t="shared" si="11"/>
        <v>33613.255000000005</v>
      </c>
    </row>
    <row r="176" spans="1:11" ht="18" customHeight="1" x14ac:dyDescent="0.2">
      <c r="A176" s="4" t="s">
        <v>269</v>
      </c>
      <c r="B176" s="5">
        <f t="shared" si="9"/>
        <v>174</v>
      </c>
      <c r="C176" s="6" t="s">
        <v>259</v>
      </c>
      <c r="D176" s="13" t="str">
        <f t="shared" ca="1" si="8"/>
        <v/>
      </c>
      <c r="E176" s="7">
        <v>1400096</v>
      </c>
      <c r="F176" s="8" t="s">
        <v>270</v>
      </c>
      <c r="G176" s="13">
        <v>12</v>
      </c>
      <c r="H176" s="18">
        <v>24368.445378151264</v>
      </c>
      <c r="I176" s="19">
        <v>28998.45</v>
      </c>
      <c r="J176" s="9">
        <f t="shared" si="10"/>
        <v>31678.978991596643</v>
      </c>
      <c r="K176" s="10">
        <f t="shared" si="11"/>
        <v>37697.985000000001</v>
      </c>
    </row>
    <row r="177" spans="1:11" ht="18" customHeight="1" x14ac:dyDescent="0.2">
      <c r="A177" s="4" t="s">
        <v>271</v>
      </c>
      <c r="B177" s="5">
        <f t="shared" si="9"/>
        <v>175</v>
      </c>
      <c r="C177" s="6" t="s">
        <v>272</v>
      </c>
      <c r="D177" s="13" t="str">
        <f t="shared" ca="1" si="8"/>
        <v/>
      </c>
      <c r="E177" s="7">
        <v>1400001</v>
      </c>
      <c r="F177" s="8" t="s">
        <v>273</v>
      </c>
      <c r="G177" s="13">
        <v>12</v>
      </c>
      <c r="H177" s="18">
        <v>41192.142857142862</v>
      </c>
      <c r="I177" s="19">
        <v>49018.65</v>
      </c>
      <c r="J177" s="9">
        <f t="shared" si="10"/>
        <v>53549.785714285725</v>
      </c>
      <c r="K177" s="10">
        <f t="shared" si="11"/>
        <v>63724.24500000001</v>
      </c>
    </row>
    <row r="178" spans="1:11" ht="18" customHeight="1" x14ac:dyDescent="0.2">
      <c r="A178" s="4" t="s">
        <v>274</v>
      </c>
      <c r="B178" s="5">
        <f t="shared" si="9"/>
        <v>176</v>
      </c>
      <c r="C178" s="6" t="s">
        <v>272</v>
      </c>
      <c r="D178" s="13" t="str">
        <f t="shared" ca="1" si="8"/>
        <v/>
      </c>
      <c r="E178" s="7">
        <v>1400079</v>
      </c>
      <c r="F178" s="8" t="s">
        <v>275</v>
      </c>
      <c r="G178" s="13">
        <v>12</v>
      </c>
      <c r="H178" s="18">
        <v>34587.361344537814</v>
      </c>
      <c r="I178" s="19">
        <v>41158.959999999999</v>
      </c>
      <c r="J178" s="9">
        <f t="shared" si="10"/>
        <v>44963.569747899157</v>
      </c>
      <c r="K178" s="10">
        <f t="shared" si="11"/>
        <v>53506.647999999994</v>
      </c>
    </row>
    <row r="179" spans="1:11" ht="18" customHeight="1" x14ac:dyDescent="0.2">
      <c r="A179" s="4" t="s">
        <v>276</v>
      </c>
      <c r="B179" s="5">
        <f t="shared" si="9"/>
        <v>177</v>
      </c>
      <c r="C179" s="6" t="s">
        <v>272</v>
      </c>
      <c r="D179" s="13" t="str">
        <f t="shared" ca="1" si="8"/>
        <v/>
      </c>
      <c r="E179" s="7">
        <v>1600005</v>
      </c>
      <c r="F179" s="8" t="s">
        <v>277</v>
      </c>
      <c r="G179" s="17">
        <v>12</v>
      </c>
      <c r="H179" s="18">
        <v>38352.97478991597</v>
      </c>
      <c r="I179" s="19">
        <v>45640.04</v>
      </c>
      <c r="J179" s="9">
        <f t="shared" si="10"/>
        <v>49858.867226890761</v>
      </c>
      <c r="K179" s="10">
        <f t="shared" si="11"/>
        <v>59332.052000000003</v>
      </c>
    </row>
    <row r="180" spans="1:11" ht="18" customHeight="1" x14ac:dyDescent="0.2">
      <c r="A180" s="4" t="s">
        <v>278</v>
      </c>
      <c r="B180" s="5">
        <f t="shared" si="9"/>
        <v>178</v>
      </c>
      <c r="C180" s="6" t="s">
        <v>272</v>
      </c>
      <c r="D180" s="13" t="str">
        <f t="shared" ca="1" si="8"/>
        <v/>
      </c>
      <c r="E180" s="7">
        <v>1600023</v>
      </c>
      <c r="F180" s="8" t="s">
        <v>279</v>
      </c>
      <c r="G180" s="13">
        <v>12</v>
      </c>
      <c r="H180" s="18">
        <v>25475.899159663866</v>
      </c>
      <c r="I180" s="19">
        <v>30316.32</v>
      </c>
      <c r="J180" s="9">
        <f t="shared" si="10"/>
        <v>33118.668907563027</v>
      </c>
      <c r="K180" s="10">
        <f t="shared" si="11"/>
        <v>39411.216</v>
      </c>
    </row>
    <row r="181" spans="1:11" ht="18" customHeight="1" x14ac:dyDescent="0.2">
      <c r="A181" s="4" t="s">
        <v>280</v>
      </c>
      <c r="B181" s="5">
        <f t="shared" si="9"/>
        <v>179</v>
      </c>
      <c r="C181" s="6" t="s">
        <v>272</v>
      </c>
      <c r="D181" s="13" t="str">
        <f t="shared" ca="1" si="8"/>
        <v/>
      </c>
      <c r="E181" s="7">
        <v>1600030</v>
      </c>
      <c r="F181" s="8" t="s">
        <v>281</v>
      </c>
      <c r="G181" s="13">
        <v>12</v>
      </c>
      <c r="H181" s="18">
        <v>34550.672268907561</v>
      </c>
      <c r="I181" s="19">
        <v>41115.299999999996</v>
      </c>
      <c r="J181" s="9">
        <f t="shared" si="10"/>
        <v>44915.873949579829</v>
      </c>
      <c r="K181" s="10">
        <f t="shared" si="11"/>
        <v>53449.889999999992</v>
      </c>
    </row>
    <row r="182" spans="1:11" ht="18" customHeight="1" x14ac:dyDescent="0.2">
      <c r="A182" s="4" t="s">
        <v>282</v>
      </c>
      <c r="B182" s="5">
        <f t="shared" si="9"/>
        <v>180</v>
      </c>
      <c r="C182" s="6" t="s">
        <v>272</v>
      </c>
      <c r="D182" s="13" t="str">
        <f t="shared" ca="1" si="8"/>
        <v/>
      </c>
      <c r="E182" s="7">
        <v>1600025</v>
      </c>
      <c r="F182" s="8" t="s">
        <v>283</v>
      </c>
      <c r="G182" s="17">
        <v>12</v>
      </c>
      <c r="H182" s="18">
        <v>29808.722689075636</v>
      </c>
      <c r="I182" s="19">
        <v>35472.380000000005</v>
      </c>
      <c r="J182" s="9">
        <f t="shared" si="10"/>
        <v>38751.339495798326</v>
      </c>
      <c r="K182" s="10">
        <f t="shared" si="11"/>
        <v>46114.094000000005</v>
      </c>
    </row>
    <row r="183" spans="1:11" ht="18" customHeight="1" x14ac:dyDescent="0.2">
      <c r="A183" s="4" t="s">
        <v>284</v>
      </c>
      <c r="B183" s="5">
        <f t="shared" si="9"/>
        <v>181</v>
      </c>
      <c r="C183" s="6" t="s">
        <v>272</v>
      </c>
      <c r="D183" s="5" t="str">
        <f t="shared" ca="1" si="8"/>
        <v/>
      </c>
      <c r="E183" s="7">
        <v>1600011</v>
      </c>
      <c r="F183" s="8" t="s">
        <v>285</v>
      </c>
      <c r="G183" s="11">
        <v>12</v>
      </c>
      <c r="H183" s="9">
        <v>33256.134453781517</v>
      </c>
      <c r="I183" s="12">
        <v>39574.800000000003</v>
      </c>
      <c r="J183" s="9">
        <f t="shared" si="10"/>
        <v>43232.97478991597</v>
      </c>
      <c r="K183" s="10">
        <f t="shared" si="11"/>
        <v>51447.240000000005</v>
      </c>
    </row>
    <row r="184" spans="1:11" ht="18" customHeight="1" x14ac:dyDescent="0.2">
      <c r="A184" s="4" t="s">
        <v>284</v>
      </c>
      <c r="B184" s="5">
        <f t="shared" si="9"/>
        <v>182</v>
      </c>
      <c r="C184" s="6" t="s">
        <v>272</v>
      </c>
      <c r="D184" s="5" t="str">
        <f t="shared" ca="1" si="8"/>
        <v/>
      </c>
      <c r="E184" s="7">
        <v>1600002</v>
      </c>
      <c r="F184" s="8" t="s">
        <v>286</v>
      </c>
      <c r="G184" s="11">
        <v>12</v>
      </c>
      <c r="H184" s="9">
        <v>34418.571428571428</v>
      </c>
      <c r="I184" s="12">
        <v>40958.1</v>
      </c>
      <c r="J184" s="9">
        <f t="shared" si="10"/>
        <v>44744.142857142855</v>
      </c>
      <c r="K184" s="10">
        <f t="shared" si="11"/>
        <v>53245.529999999992</v>
      </c>
    </row>
    <row r="185" spans="1:11" ht="18" customHeight="1" x14ac:dyDescent="0.2">
      <c r="A185" s="4" t="s">
        <v>276</v>
      </c>
      <c r="B185" s="5">
        <f t="shared" si="9"/>
        <v>183</v>
      </c>
      <c r="C185" s="6" t="s">
        <v>272</v>
      </c>
      <c r="D185" s="5" t="str">
        <f t="shared" ca="1" si="8"/>
        <v/>
      </c>
      <c r="E185" s="7">
        <v>1600008</v>
      </c>
      <c r="F185" s="8" t="s">
        <v>287</v>
      </c>
      <c r="G185" s="11">
        <v>12</v>
      </c>
      <c r="H185" s="9">
        <v>23954.36974789916</v>
      </c>
      <c r="I185" s="12">
        <v>28505.7</v>
      </c>
      <c r="J185" s="9">
        <f t="shared" si="10"/>
        <v>31140.680672268907</v>
      </c>
      <c r="K185" s="10">
        <f t="shared" si="11"/>
        <v>37057.409999999996</v>
      </c>
    </row>
    <row r="186" spans="1:11" ht="18" customHeight="1" x14ac:dyDescent="0.2">
      <c r="A186" s="4" t="s">
        <v>288</v>
      </c>
      <c r="B186" s="5">
        <f t="shared" si="9"/>
        <v>184</v>
      </c>
      <c r="C186" s="6" t="s">
        <v>64</v>
      </c>
      <c r="D186" s="5" t="str">
        <f t="shared" ca="1" si="8"/>
        <v/>
      </c>
      <c r="E186" s="7">
        <v>1200096</v>
      </c>
      <c r="F186" s="8" t="s">
        <v>301</v>
      </c>
      <c r="G186" s="11" t="s">
        <v>10</v>
      </c>
      <c r="H186" s="9">
        <v>36965.546218487398</v>
      </c>
      <c r="I186" s="12">
        <v>43989</v>
      </c>
      <c r="J186" s="9">
        <f t="shared" si="10"/>
        <v>48055.210084033621</v>
      </c>
      <c r="K186" s="10">
        <f t="shared" si="11"/>
        <v>57185.700000000004</v>
      </c>
    </row>
    <row r="187" spans="1:11" ht="18" customHeight="1" x14ac:dyDescent="0.2">
      <c r="A187" s="4" t="s">
        <v>289</v>
      </c>
      <c r="B187" s="5">
        <f t="shared" si="9"/>
        <v>185</v>
      </c>
      <c r="C187" s="6" t="s">
        <v>64</v>
      </c>
      <c r="D187" s="5" t="str">
        <f t="shared" ca="1" si="8"/>
        <v/>
      </c>
      <c r="E187" s="7">
        <v>1200081</v>
      </c>
      <c r="F187" s="8" t="s">
        <v>302</v>
      </c>
      <c r="G187" s="11" t="s">
        <v>10</v>
      </c>
      <c r="H187" s="9">
        <v>25942.436974789918</v>
      </c>
      <c r="I187" s="12">
        <v>30871.5</v>
      </c>
      <c r="J187" s="9">
        <f t="shared" si="10"/>
        <v>33725.168067226892</v>
      </c>
      <c r="K187" s="10">
        <f t="shared" si="11"/>
        <v>40132.949999999997</v>
      </c>
    </row>
  </sheetData>
  <autoFilter ref="A2:I187" xr:uid="{480957E8-DA63-42DF-B917-049DE8665753}">
    <sortState xmlns:xlrd2="http://schemas.microsoft.com/office/spreadsheetml/2017/richdata2" ref="A3:I185">
      <sortCondition descending="1" ref="C2:C175"/>
    </sortState>
  </autoFilter>
  <mergeCells count="1">
    <mergeCell ref="B1:E1"/>
  </mergeCells>
  <conditionalFormatting sqref="E2:E1048576">
    <cfRule type="duplicateValues" dxfId="5" priority="1"/>
    <cfRule type="duplicateValues" dxfId="4" priority="4"/>
  </conditionalFormatting>
  <conditionalFormatting sqref="E3:E74">
    <cfRule type="duplicateValues" dxfId="3" priority="5"/>
    <cfRule type="duplicateValues" dxfId="2" priority="6"/>
  </conditionalFormatting>
  <conditionalFormatting sqref="E73">
    <cfRule type="duplicateValues" dxfId="1" priority="2"/>
    <cfRule type="duplicateValues" dxfId="0" priority="3"/>
  </conditionalFormatting>
  <hyperlinks>
    <hyperlink ref="A3" r:id="rId1" xr:uid="{9856BD94-BC44-444B-A62B-8CC0E7F99055}"/>
    <hyperlink ref="A4" r:id="rId2" xr:uid="{F268A91D-956D-4243-B5F3-1505A350B71E}"/>
    <hyperlink ref="A5" r:id="rId3" xr:uid="{1C9E9D92-4C6B-49F3-8AED-FF26B6EF87F8}"/>
    <hyperlink ref="A6" r:id="rId4" xr:uid="{7822E906-34FB-4147-88F1-EB554658D552}"/>
    <hyperlink ref="A7" r:id="rId5" xr:uid="{494515AE-5581-4FAF-92BA-2A41A317E538}"/>
    <hyperlink ref="A8" r:id="rId6" xr:uid="{D1EC3B3C-1DB7-4834-853D-556FA00621C9}"/>
    <hyperlink ref="A17" r:id="rId7" xr:uid="{D375B22A-F941-42CA-876F-57E64C3481E1}"/>
    <hyperlink ref="A18" r:id="rId8" xr:uid="{6F14BBE7-E6D5-4DD0-BBD6-3D3055ACB490}"/>
    <hyperlink ref="A19" r:id="rId9" xr:uid="{42EAF68D-513A-4C71-A487-EFCCEFEA4BA4}"/>
    <hyperlink ref="A9" r:id="rId10" xr:uid="{085A6D32-E3A6-4FE7-9FA9-CE31E040770D}"/>
    <hyperlink ref="A10" r:id="rId11" xr:uid="{C0A148C0-95CA-4C5C-9FFA-20FF968A7743}"/>
    <hyperlink ref="A11" r:id="rId12" xr:uid="{EB90936E-5DF9-4DF1-A959-1D240785780D}"/>
    <hyperlink ref="A12" r:id="rId13" xr:uid="{9B51AF8A-DB7A-422E-B734-230B5EC8B0C2}"/>
    <hyperlink ref="A20" r:id="rId14" xr:uid="{BF735570-5B8D-423B-BBE9-B90AFF11C7E4}"/>
    <hyperlink ref="A21" r:id="rId15" xr:uid="{1CF534EE-090E-4033-890D-90A07D667F5F}"/>
    <hyperlink ref="A22" r:id="rId16" xr:uid="{8413DE09-038E-496D-837F-08FB9E6982D7}"/>
    <hyperlink ref="A23" r:id="rId17" xr:uid="{91A54D20-6502-442A-AD74-1691838EB1EE}"/>
    <hyperlink ref="A24" r:id="rId18" xr:uid="{FD6C28A1-D17E-4EC5-8E56-6DE5309E149A}"/>
    <hyperlink ref="A25" r:id="rId19" xr:uid="{DA0ACA3A-6270-4F1D-8875-585E3F29BA1B}"/>
    <hyperlink ref="A14" r:id="rId20" xr:uid="{34A80385-D4B3-4C1C-8A79-1FB7F6668283}"/>
    <hyperlink ref="A15" r:id="rId21" xr:uid="{9ED951B0-9A55-4801-854A-935734BA6D6A}"/>
    <hyperlink ref="A16" r:id="rId22" xr:uid="{2C9D2159-0E7B-46E0-92DB-4C3C749C3DE4}"/>
    <hyperlink ref="A26" r:id="rId23" xr:uid="{EA689C53-311A-4DCA-AAE0-ACB253E68698}"/>
    <hyperlink ref="A27" r:id="rId24" xr:uid="{A4A27774-C347-4E3E-9925-BA0BF78AB6B8}"/>
    <hyperlink ref="A28" r:id="rId25" xr:uid="{50431CF4-2A57-4C2B-9B85-FCF7F886B727}"/>
    <hyperlink ref="A29" r:id="rId26" xr:uid="{060C30D5-232F-45CA-A99F-8D29A564585B}"/>
    <hyperlink ref="A30" r:id="rId27" xr:uid="{94471308-796B-496F-BEBB-A3F49E8E9550}"/>
    <hyperlink ref="A31" r:id="rId28" xr:uid="{1B22C780-9CF4-484B-B3CE-FE773776123E}"/>
    <hyperlink ref="A37" r:id="rId29" xr:uid="{18B59203-092F-4F14-A735-3519D66F0E77}"/>
    <hyperlink ref="A38" r:id="rId30" xr:uid="{186EDAE0-CF18-45D5-96BB-F1C522CEA6A5}"/>
    <hyperlink ref="A39" r:id="rId31" xr:uid="{B60C4146-D9AB-4F9E-AFE2-29597837A6F6}"/>
    <hyperlink ref="A41" r:id="rId32" xr:uid="{A61BAB64-3064-4C40-836E-BFB2415FEA39}"/>
    <hyperlink ref="A32" r:id="rId33" xr:uid="{2FB778EB-F568-4D6A-A42E-A7D47A4971FE}"/>
    <hyperlink ref="A33" r:id="rId34" xr:uid="{863C9131-58EB-4A84-9E17-C542A591A466}"/>
    <hyperlink ref="A34" r:id="rId35" xr:uid="{FD42BB90-92EB-4636-BC92-699BA3DA1F60}"/>
    <hyperlink ref="A40" r:id="rId36" xr:uid="{55DD7FF5-DB97-480C-AC83-C59EF6D06D2C}"/>
    <hyperlink ref="A35" r:id="rId37" xr:uid="{FF7ACA0D-C2F1-467D-B513-890AD25FA73F}"/>
    <hyperlink ref="A36" r:id="rId38" xr:uid="{F3D0C0E8-E5D2-4589-AFCD-82C3A607AAE5}"/>
    <hyperlink ref="A42" r:id="rId39" xr:uid="{36953AC2-D314-425F-89CC-AD3B530ACA15}"/>
    <hyperlink ref="A48" r:id="rId40" xr:uid="{C830D334-EB20-40E9-BDF0-64BC9AF80EA7}"/>
    <hyperlink ref="A49" r:id="rId41" xr:uid="{26CF85CC-3E42-48AD-B1DB-A56486A3E1E2}"/>
    <hyperlink ref="A51" r:id="rId42" xr:uid="{698AC3EF-9AA3-4DD4-B1D0-06F83E261952}"/>
    <hyperlink ref="A44" r:id="rId43" xr:uid="{2A6E4BC1-F220-484D-A454-DDA6E50F3406}"/>
    <hyperlink ref="A53" r:id="rId44" xr:uid="{7FA5205D-0B2A-4FEB-BB4D-C870E6178294}"/>
    <hyperlink ref="A54" r:id="rId45" xr:uid="{18B2A392-A412-4668-AD7E-8CFD2342615A}"/>
    <hyperlink ref="A56" r:id="rId46" xr:uid="{A49849D9-9341-4D4A-9E96-813EEC7C2349}"/>
    <hyperlink ref="A63" r:id="rId47" xr:uid="{A4D45A16-64DF-42C2-88ED-D3E12E707E6D}"/>
    <hyperlink ref="A72" r:id="rId48" xr:uid="{06B272FF-63F0-4216-8EC1-5ED0B936E92A}"/>
    <hyperlink ref="A70" r:id="rId49" xr:uid="{022B7D0B-1F9B-4289-9412-647D0906C50B}"/>
    <hyperlink ref="A69" r:id="rId50" xr:uid="{10781C38-3D44-4AC6-9863-B47DD0036A1C}"/>
    <hyperlink ref="A62" r:id="rId51" xr:uid="{661EAB50-E138-495C-96FB-50069E8948E6}"/>
    <hyperlink ref="A59" r:id="rId52" xr:uid="{032B4B8E-07B1-49B6-AFA5-DD2F509C1CD0}"/>
    <hyperlink ref="A64" r:id="rId53" xr:uid="{6C84E565-642F-43A5-B3A1-CFFF299C2D32}"/>
    <hyperlink ref="A73" r:id="rId54" xr:uid="{722DB720-8745-44E9-8163-B1C0C6142F98}"/>
    <hyperlink ref="A74" r:id="rId55" xr:uid="{F58B5AF6-70E3-405C-8CFC-197216FC8B6D}"/>
    <hyperlink ref="A75" r:id="rId56" xr:uid="{BBB8AC0E-3A9D-4523-A1AB-FC9F194AC57C}"/>
    <hyperlink ref="A76" r:id="rId57" xr:uid="{C8967F4D-BE45-45B6-BFD7-B966E546C4DB}"/>
    <hyperlink ref="A83" r:id="rId58" xr:uid="{E8601CAC-B6E3-4F4B-935E-5C30D69C52FE}"/>
    <hyperlink ref="A77" r:id="rId59" xr:uid="{9B211738-B73F-4A15-A854-594F9AB78C90}"/>
    <hyperlink ref="A78" r:id="rId60" xr:uid="{CDF9070A-128D-4933-B8CA-E7FA403F56E9}"/>
    <hyperlink ref="A82" r:id="rId61" xr:uid="{124E4436-8B0E-47FD-9FAC-69EABC3882FC}"/>
    <hyperlink ref="A79" r:id="rId62" xr:uid="{A984FE02-2F45-40C4-9A66-C51E1E9A208D}"/>
    <hyperlink ref="A80" r:id="rId63" xr:uid="{B39217A7-00E7-432E-815C-821643A9D19F}"/>
    <hyperlink ref="A81" r:id="rId64" xr:uid="{65D825BF-E0AB-4AC8-94B2-07B83B364A8B}"/>
    <hyperlink ref="A85" r:id="rId65" xr:uid="{319CBF5B-365B-4E54-AA61-70EF83DEE637}"/>
    <hyperlink ref="A84" r:id="rId66" xr:uid="{CB653BD3-BEFF-4CE0-9063-BD459BD01B44}"/>
    <hyperlink ref="A86" r:id="rId67" xr:uid="{CAB17037-DDA5-41CD-8EBB-5335EB8C8A26}"/>
    <hyperlink ref="A96" r:id="rId68" xr:uid="{3DF5EFA7-6943-4B5C-9DD2-D53D0E3703A8}"/>
    <hyperlink ref="A87" r:id="rId69" xr:uid="{260B600F-4C79-4841-91F4-2C9D7A1B49AC}"/>
    <hyperlink ref="A88" r:id="rId70" xr:uid="{9020B77C-7513-4049-B1CC-28A5C5F36FF7}"/>
    <hyperlink ref="A97" r:id="rId71" xr:uid="{23AA756B-9F9E-4BF9-883D-B81A7F623463}"/>
    <hyperlink ref="A100" r:id="rId72" xr:uid="{536BAFE7-78A1-4B9A-A7D8-7AFB409CC612}"/>
    <hyperlink ref="A99:A104" r:id="rId73" display="https://vistony.pe/wp-content/uploads/2025/05/VOLTEK-1.webp" xr:uid="{A2B70100-C110-4237-99ED-8A80A58594C8}"/>
    <hyperlink ref="A107" r:id="rId74" xr:uid="{35D7F5B8-059A-471E-AA8B-5FEE7CFE93F2}"/>
    <hyperlink ref="A108" r:id="rId75" xr:uid="{3719595C-4250-414C-BB2F-80EEA89B8F8A}"/>
    <hyperlink ref="A110" r:id="rId76" xr:uid="{74DEB598-0540-4A94-ABB4-6165BCD26C7F}"/>
    <hyperlink ref="A117" r:id="rId77" xr:uid="{A6BD7079-AE42-4BBC-B894-EAB5BD453591}"/>
    <hyperlink ref="A118" r:id="rId78" xr:uid="{79349EF2-CA0A-4BBC-84B4-0C804297F8F7}"/>
    <hyperlink ref="A119" r:id="rId79" xr:uid="{E5645F73-210B-44BF-A035-C12212264E9E}"/>
    <hyperlink ref="A125" r:id="rId80" xr:uid="{F22EDC0D-1E96-4463-97D7-F970AB55BF8F}"/>
    <hyperlink ref="A126" r:id="rId81" xr:uid="{ABC1720B-89BD-429F-B949-25E6C65074E4}"/>
    <hyperlink ref="A127:A130" r:id="rId82" display="https://vistonylubricantes.cl/wp-content/uploads/2025/10/AQUAOIL-SUPER-2T.png" xr:uid="{D69F3389-3CA2-4847-8F07-21DE05CF4B98}"/>
    <hyperlink ref="A133" r:id="rId83" xr:uid="{C85CE167-5F80-4A9D-ADF8-26460A91AA53}"/>
    <hyperlink ref="A134" r:id="rId84" xr:uid="{879B7B44-231D-49A1-98EB-92FECC6D8382}"/>
    <hyperlink ref="A135" r:id="rId85" xr:uid="{66BE542F-64B6-41BC-98A4-CBFDB6A8B1AD}"/>
    <hyperlink ref="A136" r:id="rId86" xr:uid="{16DFF3BA-A374-4082-93D0-20468970134C}"/>
    <hyperlink ref="A137" r:id="rId87" xr:uid="{ECDEB0D0-C011-48D2-B2A3-F60ED965EC4D}"/>
    <hyperlink ref="A138" r:id="rId88" xr:uid="{08186AC8-1C1F-413A-A834-F412D0647892}"/>
    <hyperlink ref="A139" r:id="rId89" xr:uid="{F0C63604-EB5B-47B3-B920-990456A3ED4F}"/>
    <hyperlink ref="A140" r:id="rId90" xr:uid="{FA2BF6A6-664F-43EA-A414-F8AA3D0FBF22}"/>
    <hyperlink ref="A141" r:id="rId91" xr:uid="{A9BC17CF-18DD-4519-8E90-30B20257D3F2}"/>
    <hyperlink ref="A142" r:id="rId92" xr:uid="{F9456871-EE88-4B22-93EE-52AEDAE670EA}"/>
    <hyperlink ref="A141:A144" r:id="rId93" display="https://vistony.pe/wp-content/uploads/2025/05/AROMAS.png" xr:uid="{F500E323-7C46-4F0C-A7B3-3507654F36DE}"/>
    <hyperlink ref="A147" r:id="rId94" xr:uid="{107EDF09-E925-44C1-BCC2-174A4FA6BD9F}"/>
    <hyperlink ref="A148" r:id="rId95" xr:uid="{5FB33916-561E-40C8-B8C8-1C1B6CA227BE}"/>
    <hyperlink ref="A149" r:id="rId96" xr:uid="{68B5979C-6B57-413B-B38E-07F5DAA6F813}"/>
    <hyperlink ref="A154" r:id="rId97" xr:uid="{A26341C2-380C-4FBF-8059-2954DA0FF022}"/>
    <hyperlink ref="A150" r:id="rId98" xr:uid="{75BDF90F-F6A6-41B4-A639-4518FE523C40}"/>
    <hyperlink ref="A155" r:id="rId99" xr:uid="{A0CCE5D8-49E9-48B8-8668-D072C0D12840}"/>
    <hyperlink ref="A151" r:id="rId100" xr:uid="{2C204A05-FD32-4CD7-9B49-948B26B3DEA6}"/>
    <hyperlink ref="A156" r:id="rId101" xr:uid="{B93B9FC7-79FA-4C91-A097-5DDA2D9C8BA3}"/>
    <hyperlink ref="A152" r:id="rId102" xr:uid="{D05F11B5-926F-46E8-A16A-94F57A2384DE}"/>
    <hyperlink ref="A158" r:id="rId103" xr:uid="{CD5DEC16-3E2B-4093-B96D-168427375D9E}"/>
    <hyperlink ref="A157" r:id="rId104" xr:uid="{615E74A2-7A89-4488-9481-E3FEB74B8C1F}"/>
    <hyperlink ref="A159" r:id="rId105" xr:uid="{44F6823C-196C-4382-81CF-35F7B784E409}"/>
    <hyperlink ref="A160" r:id="rId106" xr:uid="{76122776-4840-4344-B189-D79F034A8850}"/>
    <hyperlink ref="A161" r:id="rId107" xr:uid="{87ABF805-9303-4868-9140-67001A1E0E0D}"/>
    <hyperlink ref="A171" r:id="rId108" xr:uid="{EDCE60F3-E6B4-486A-8730-E7015EFDE40C}"/>
    <hyperlink ref="A172" r:id="rId109" xr:uid="{C15FF904-B830-4F80-8C72-030F57A7C3DC}"/>
    <hyperlink ref="A174" r:id="rId110" xr:uid="{17EDB6FD-32FD-4D0F-8507-08C927122054}"/>
    <hyperlink ref="A175" r:id="rId111" xr:uid="{3B17CF29-AC7C-45EE-849B-5F44C7950EFC}"/>
    <hyperlink ref="A176" r:id="rId112" xr:uid="{22083A9A-EB9E-4C08-9907-22DD1D9DCB6D}"/>
    <hyperlink ref="A177" r:id="rId113" xr:uid="{DB31551B-3988-4652-927F-1B2104AC82EA}"/>
    <hyperlink ref="A178" r:id="rId114" xr:uid="{345D4D62-4714-44F9-ACB9-6D157F2D15B9}"/>
    <hyperlink ref="A182" r:id="rId115" xr:uid="{F786B438-3F04-40D3-903B-3B84DD59B3EC}"/>
    <hyperlink ref="A180" r:id="rId116" xr:uid="{7EE13C23-7EC8-41F9-9883-8CDC479ADBBE}"/>
    <hyperlink ref="A181" r:id="rId117" xr:uid="{F477CBA9-C3BD-4534-8327-5DBB06D18185}"/>
    <hyperlink ref="A179" r:id="rId118" xr:uid="{78D0E343-CF24-4D9C-A146-B31D17C16703}"/>
    <hyperlink ref="A185" r:id="rId119" xr:uid="{FC171A09-177C-4AF8-A8B6-DF0FB5BAF468}"/>
    <hyperlink ref="A183" r:id="rId120" xr:uid="{2253055C-5360-40C6-8A85-F4F0A4FAAF18}"/>
    <hyperlink ref="A184" r:id="rId121" xr:uid="{2836E6FA-3A1C-41E4-89B1-AC5D1643E226}"/>
    <hyperlink ref="A175:A183" r:id="rId122" display="https://vistony.pe/wp-content/uploads/2025/05/VOLTEK-1.webp" xr:uid="{BCD2790E-DEA8-4F1D-BA6D-AAF55F0AFB8B}"/>
    <hyperlink ref="A184:A185" r:id="rId123" display="https://vistony.pe/wp-content/uploads/2025/05/VOLTEK-1.webp" xr:uid="{303D3FA1-F4D1-41D5-B012-3C01AE495FC5}"/>
    <hyperlink ref="A186" r:id="rId124" xr:uid="{64571F05-CD50-42C2-8AF1-D40CDF87E724}"/>
    <hyperlink ref="A187" r:id="rId125" xr:uid="{5FD2A5B3-5609-4C41-8F25-0D48C8EB803A}"/>
  </hyperlinks>
  <pageMargins left="0.7" right="0.7" top="0.75" bottom="0.75" header="0.3" footer="0.3"/>
  <pageSetup scale="52" orientation="portrait" horizontalDpi="200" verticalDpi="200" r:id="rId1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Distribuidores Vistony Chile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Andres Dominguez Hidrobo</dc:creator>
  <cp:lastModifiedBy>Juan Carlos Contreras Castro</cp:lastModifiedBy>
  <dcterms:created xsi:type="dcterms:W3CDTF">2026-07-28T23:58:10Z</dcterms:created>
  <dcterms:modified xsi:type="dcterms:W3CDTF">2026-08-07T17:30:28Z</dcterms:modified>
</cp:coreProperties>
</file>